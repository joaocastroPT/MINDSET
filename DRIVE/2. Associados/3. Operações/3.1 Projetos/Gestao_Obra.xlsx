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str\OneDrive\Desktop\"/>
    </mc:Choice>
  </mc:AlternateContent>
  <xr:revisionPtr revIDLastSave="0" documentId="13_ncr:1_{56E3A771-94B9-4F70-AF11-B25AD0BEC4DD}" xr6:coauthVersionLast="47" xr6:coauthVersionMax="47" xr10:uidLastSave="{00000000-0000-0000-0000-000000000000}"/>
  <bookViews>
    <workbookView xWindow="-108" yWindow="-108" windowWidth="23256" windowHeight="12456" tabRatio="500" firstSheet="3" activeTab="7" xr2:uid="{00000000-000D-0000-FFFF-FFFF00000000}"/>
  </bookViews>
  <sheets>
    <sheet name="Dashboard" sheetId="1" r:id="rId1"/>
    <sheet name="Projetos" sheetId="2" r:id="rId2"/>
    <sheet name="Orcamentos" sheetId="3" r:id="rId3"/>
    <sheet name="Mao de Obra" sheetId="4" r:id="rId4"/>
    <sheet name="Materiais" sheetId="5" r:id="rId5"/>
    <sheet name="Faturas" sheetId="6" r:id="rId6"/>
    <sheet name="Proposta Obra" sheetId="7" r:id="rId7"/>
    <sheet name="Folha Horas Obra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10" i="8" l="1"/>
  <c r="H210" i="8"/>
  <c r="K209" i="8"/>
  <c r="A209" i="8"/>
  <c r="K208" i="8"/>
  <c r="A208" i="8"/>
  <c r="K207" i="8"/>
  <c r="A207" i="8"/>
  <c r="K206" i="8"/>
  <c r="A206" i="8"/>
  <c r="K205" i="8"/>
  <c r="A205" i="8"/>
  <c r="K204" i="8"/>
  <c r="A204" i="8"/>
  <c r="K203" i="8"/>
  <c r="A203" i="8"/>
  <c r="K202" i="8"/>
  <c r="A202" i="8"/>
  <c r="K201" i="8"/>
  <c r="A201" i="8"/>
  <c r="K200" i="8"/>
  <c r="A200" i="8"/>
  <c r="K199" i="8"/>
  <c r="A199" i="8"/>
  <c r="K198" i="8"/>
  <c r="A198" i="8"/>
  <c r="K197" i="8"/>
  <c r="A197" i="8"/>
  <c r="K196" i="8"/>
  <c r="A196" i="8"/>
  <c r="K195" i="8"/>
  <c r="A195" i="8"/>
  <c r="K194" i="8"/>
  <c r="A194" i="8"/>
  <c r="K193" i="8"/>
  <c r="A193" i="8"/>
  <c r="K192" i="8"/>
  <c r="A192" i="8"/>
  <c r="K191" i="8"/>
  <c r="A191" i="8"/>
  <c r="K190" i="8"/>
  <c r="A190" i="8"/>
  <c r="K189" i="8"/>
  <c r="A189" i="8"/>
  <c r="K188" i="8"/>
  <c r="A188" i="8"/>
  <c r="K187" i="8"/>
  <c r="A187" i="8"/>
  <c r="K186" i="8"/>
  <c r="A186" i="8"/>
  <c r="K185" i="8"/>
  <c r="A185" i="8"/>
  <c r="K184" i="8"/>
  <c r="A184" i="8"/>
  <c r="K183" i="8"/>
  <c r="A183" i="8"/>
  <c r="K182" i="8"/>
  <c r="A182" i="8"/>
  <c r="K181" i="8"/>
  <c r="A181" i="8"/>
  <c r="K180" i="8"/>
  <c r="A180" i="8"/>
  <c r="K179" i="8"/>
  <c r="A179" i="8"/>
  <c r="K178" i="8"/>
  <c r="A178" i="8"/>
  <c r="K177" i="8"/>
  <c r="A177" i="8"/>
  <c r="K176" i="8"/>
  <c r="A176" i="8"/>
  <c r="K175" i="8"/>
  <c r="A175" i="8"/>
  <c r="K174" i="8"/>
  <c r="A174" i="8"/>
  <c r="K173" i="8"/>
  <c r="A173" i="8"/>
  <c r="K172" i="8"/>
  <c r="A172" i="8"/>
  <c r="K171" i="8"/>
  <c r="A171" i="8"/>
  <c r="K170" i="8"/>
  <c r="A170" i="8"/>
  <c r="K169" i="8"/>
  <c r="A169" i="8"/>
  <c r="K168" i="8"/>
  <c r="A168" i="8"/>
  <c r="K167" i="8"/>
  <c r="A167" i="8"/>
  <c r="K166" i="8"/>
  <c r="A166" i="8"/>
  <c r="K165" i="8"/>
  <c r="A165" i="8"/>
  <c r="K164" i="8"/>
  <c r="A164" i="8"/>
  <c r="K163" i="8"/>
  <c r="A163" i="8"/>
  <c r="K162" i="8"/>
  <c r="A162" i="8"/>
  <c r="K161" i="8"/>
  <c r="A161" i="8"/>
  <c r="K160" i="8"/>
  <c r="A160" i="8"/>
  <c r="K159" i="8"/>
  <c r="A159" i="8"/>
  <c r="K158" i="8"/>
  <c r="A158" i="8"/>
  <c r="K157" i="8"/>
  <c r="A157" i="8"/>
  <c r="K156" i="8"/>
  <c r="A156" i="8"/>
  <c r="K155" i="8"/>
  <c r="A155" i="8"/>
  <c r="K154" i="8"/>
  <c r="A154" i="8"/>
  <c r="K153" i="8"/>
  <c r="A153" i="8"/>
  <c r="K152" i="8"/>
  <c r="A152" i="8"/>
  <c r="K151" i="8"/>
  <c r="A151" i="8"/>
  <c r="K150" i="8"/>
  <c r="A150" i="8"/>
  <c r="K149" i="8"/>
  <c r="A149" i="8"/>
  <c r="K148" i="8"/>
  <c r="A148" i="8"/>
  <c r="K147" i="8"/>
  <c r="A147" i="8"/>
  <c r="K146" i="8"/>
  <c r="A146" i="8"/>
  <c r="K145" i="8"/>
  <c r="A145" i="8"/>
  <c r="K144" i="8"/>
  <c r="A144" i="8"/>
  <c r="K143" i="8"/>
  <c r="A143" i="8"/>
  <c r="K142" i="8"/>
  <c r="A142" i="8"/>
  <c r="K141" i="8"/>
  <c r="A141" i="8"/>
  <c r="K140" i="8"/>
  <c r="A140" i="8"/>
  <c r="K139" i="8"/>
  <c r="A139" i="8"/>
  <c r="K138" i="8"/>
  <c r="A138" i="8"/>
  <c r="K137" i="8"/>
  <c r="A137" i="8"/>
  <c r="K136" i="8"/>
  <c r="A136" i="8"/>
  <c r="K135" i="8"/>
  <c r="A135" i="8"/>
  <c r="K134" i="8"/>
  <c r="A134" i="8"/>
  <c r="K133" i="8"/>
  <c r="A133" i="8"/>
  <c r="K132" i="8"/>
  <c r="A132" i="8"/>
  <c r="K131" i="8"/>
  <c r="A131" i="8"/>
  <c r="K130" i="8"/>
  <c r="A130" i="8"/>
  <c r="K129" i="8"/>
  <c r="A129" i="8"/>
  <c r="K128" i="8"/>
  <c r="A128" i="8"/>
  <c r="K127" i="8"/>
  <c r="A127" i="8"/>
  <c r="K126" i="8"/>
  <c r="A126" i="8"/>
  <c r="K125" i="8"/>
  <c r="A125" i="8"/>
  <c r="K124" i="8"/>
  <c r="A124" i="8"/>
  <c r="K123" i="8"/>
  <c r="A123" i="8"/>
  <c r="K122" i="8"/>
  <c r="A122" i="8"/>
  <c r="K121" i="8"/>
  <c r="A121" i="8"/>
  <c r="K120" i="8"/>
  <c r="A120" i="8"/>
  <c r="K119" i="8"/>
  <c r="A119" i="8"/>
  <c r="K118" i="8"/>
  <c r="A118" i="8"/>
  <c r="K117" i="8"/>
  <c r="A117" i="8"/>
  <c r="K116" i="8"/>
  <c r="A116" i="8"/>
  <c r="K115" i="8"/>
  <c r="A115" i="8"/>
  <c r="K114" i="8"/>
  <c r="A114" i="8"/>
  <c r="K113" i="8"/>
  <c r="A113" i="8"/>
  <c r="K112" i="8"/>
  <c r="A112" i="8"/>
  <c r="K111" i="8"/>
  <c r="A111" i="8"/>
  <c r="K110" i="8"/>
  <c r="A110" i="8"/>
  <c r="K109" i="8"/>
  <c r="A109" i="8"/>
  <c r="K108" i="8"/>
  <c r="A108" i="8"/>
  <c r="K107" i="8"/>
  <c r="A107" i="8"/>
  <c r="K106" i="8"/>
  <c r="A106" i="8"/>
  <c r="K105" i="8"/>
  <c r="A105" i="8"/>
  <c r="K104" i="8"/>
  <c r="A104" i="8"/>
  <c r="K103" i="8"/>
  <c r="A103" i="8"/>
  <c r="K102" i="8"/>
  <c r="A102" i="8"/>
  <c r="K101" i="8"/>
  <c r="A101" i="8"/>
  <c r="K100" i="8"/>
  <c r="A100" i="8"/>
  <c r="K99" i="8"/>
  <c r="A99" i="8"/>
  <c r="K98" i="8"/>
  <c r="A98" i="8"/>
  <c r="K97" i="8"/>
  <c r="A97" i="8"/>
  <c r="K96" i="8"/>
  <c r="A96" i="8"/>
  <c r="K95" i="8"/>
  <c r="A95" i="8"/>
  <c r="K94" i="8"/>
  <c r="A94" i="8"/>
  <c r="K93" i="8"/>
  <c r="A93" i="8"/>
  <c r="K92" i="8"/>
  <c r="A92" i="8"/>
  <c r="K91" i="8"/>
  <c r="A91" i="8"/>
  <c r="K90" i="8"/>
  <c r="A90" i="8"/>
  <c r="K89" i="8"/>
  <c r="A89" i="8"/>
  <c r="K88" i="8"/>
  <c r="A88" i="8"/>
  <c r="K87" i="8"/>
  <c r="A87" i="8"/>
  <c r="K86" i="8"/>
  <c r="A86" i="8"/>
  <c r="K85" i="8"/>
  <c r="A85" i="8"/>
  <c r="K84" i="8"/>
  <c r="A84" i="8"/>
  <c r="K83" i="8"/>
  <c r="A83" i="8"/>
  <c r="K82" i="8"/>
  <c r="A82" i="8"/>
  <c r="K81" i="8"/>
  <c r="A81" i="8"/>
  <c r="K80" i="8"/>
  <c r="A80" i="8"/>
  <c r="K79" i="8"/>
  <c r="A79" i="8"/>
  <c r="K78" i="8"/>
  <c r="A78" i="8"/>
  <c r="K77" i="8"/>
  <c r="A77" i="8"/>
  <c r="K76" i="8"/>
  <c r="A76" i="8"/>
  <c r="K75" i="8"/>
  <c r="A75" i="8"/>
  <c r="K74" i="8"/>
  <c r="A74" i="8"/>
  <c r="K73" i="8"/>
  <c r="A73" i="8"/>
  <c r="K72" i="8"/>
  <c r="A72" i="8"/>
  <c r="K71" i="8"/>
  <c r="A71" i="8"/>
  <c r="K70" i="8"/>
  <c r="A70" i="8"/>
  <c r="K69" i="8"/>
  <c r="A69" i="8"/>
  <c r="K68" i="8"/>
  <c r="A68" i="8"/>
  <c r="K67" i="8"/>
  <c r="A67" i="8"/>
  <c r="K66" i="8"/>
  <c r="A66" i="8"/>
  <c r="K65" i="8"/>
  <c r="A65" i="8"/>
  <c r="K64" i="8"/>
  <c r="A64" i="8"/>
  <c r="K63" i="8"/>
  <c r="A63" i="8"/>
  <c r="K62" i="8"/>
  <c r="A62" i="8"/>
  <c r="K61" i="8"/>
  <c r="A61" i="8"/>
  <c r="K60" i="8"/>
  <c r="A60" i="8"/>
  <c r="K59" i="8"/>
  <c r="A59" i="8"/>
  <c r="K58" i="8"/>
  <c r="A58" i="8"/>
  <c r="K57" i="8"/>
  <c r="A57" i="8"/>
  <c r="K56" i="8"/>
  <c r="A56" i="8"/>
  <c r="K55" i="8"/>
  <c r="A55" i="8"/>
  <c r="K54" i="8"/>
  <c r="A54" i="8"/>
  <c r="K53" i="8"/>
  <c r="A53" i="8"/>
  <c r="K52" i="8"/>
  <c r="A52" i="8"/>
  <c r="K51" i="8"/>
  <c r="A51" i="8"/>
  <c r="K50" i="8"/>
  <c r="A50" i="8"/>
  <c r="K49" i="8"/>
  <c r="A49" i="8"/>
  <c r="K48" i="8"/>
  <c r="A48" i="8"/>
  <c r="K47" i="8"/>
  <c r="A47" i="8"/>
  <c r="K46" i="8"/>
  <c r="A46" i="8"/>
  <c r="K45" i="8"/>
  <c r="A45" i="8"/>
  <c r="K44" i="8"/>
  <c r="A44" i="8"/>
  <c r="K43" i="8"/>
  <c r="A43" i="8"/>
  <c r="K42" i="8"/>
  <c r="A42" i="8"/>
  <c r="K41" i="8"/>
  <c r="A41" i="8"/>
  <c r="K40" i="8"/>
  <c r="A40" i="8"/>
  <c r="K39" i="8"/>
  <c r="A39" i="8"/>
  <c r="K38" i="8"/>
  <c r="A38" i="8"/>
  <c r="K37" i="8"/>
  <c r="A37" i="8"/>
  <c r="K36" i="8"/>
  <c r="A36" i="8"/>
  <c r="K35" i="8"/>
  <c r="A35" i="8"/>
  <c r="K34" i="8"/>
  <c r="A34" i="8"/>
  <c r="K33" i="8"/>
  <c r="A33" i="8"/>
  <c r="K32" i="8"/>
  <c r="A32" i="8"/>
  <c r="K31" i="8"/>
  <c r="A31" i="8"/>
  <c r="K30" i="8"/>
  <c r="A30" i="8"/>
  <c r="K29" i="8"/>
  <c r="A29" i="8"/>
  <c r="K28" i="8"/>
  <c r="A28" i="8"/>
  <c r="K27" i="8"/>
  <c r="A27" i="8"/>
  <c r="K26" i="8"/>
  <c r="A26" i="8"/>
  <c r="K25" i="8"/>
  <c r="A25" i="8"/>
  <c r="K24" i="8"/>
  <c r="A24" i="8"/>
  <c r="K23" i="8"/>
  <c r="A23" i="8"/>
  <c r="K22" i="8"/>
  <c r="A22" i="8"/>
  <c r="K21" i="8"/>
  <c r="A21" i="8"/>
  <c r="K20" i="8"/>
  <c r="A20" i="8"/>
  <c r="K19" i="8"/>
  <c r="A19" i="8"/>
  <c r="K18" i="8"/>
  <c r="A18" i="8"/>
  <c r="K17" i="8"/>
  <c r="A17" i="8"/>
  <c r="K16" i="8"/>
  <c r="A16" i="8"/>
  <c r="K15" i="8"/>
  <c r="A15" i="8"/>
  <c r="K14" i="8"/>
  <c r="A14" i="8"/>
  <c r="K13" i="8"/>
  <c r="A13" i="8"/>
  <c r="K12" i="8"/>
  <c r="A12" i="8"/>
  <c r="K11" i="8"/>
  <c r="A11" i="8"/>
  <c r="K10" i="8"/>
  <c r="A10" i="8"/>
  <c r="I4" i="8"/>
  <c r="F51" i="7"/>
  <c r="F50" i="7"/>
  <c r="F49" i="7"/>
  <c r="F47" i="7"/>
  <c r="E39" i="7"/>
  <c r="F39" i="7" s="1"/>
  <c r="G39" i="7" s="1"/>
  <c r="H38" i="7" s="1"/>
  <c r="E36" i="7"/>
  <c r="F36" i="7" s="1"/>
  <c r="G36" i="7" s="1"/>
  <c r="H35" i="7" s="1"/>
  <c r="E33" i="7"/>
  <c r="F33" i="7" s="1"/>
  <c r="G33" i="7" s="1"/>
  <c r="H32" i="7" s="1"/>
  <c r="E30" i="7"/>
  <c r="F30" i="7" s="1"/>
  <c r="G30" i="7" s="1"/>
  <c r="H29" i="7" s="1"/>
  <c r="E27" i="7"/>
  <c r="F27" i="7" s="1"/>
  <c r="G27" i="7" s="1"/>
  <c r="H26" i="7" s="1"/>
  <c r="E24" i="7"/>
  <c r="F24" i="7" s="1"/>
  <c r="G24" i="7" s="1"/>
  <c r="H23" i="7" s="1"/>
  <c r="E21" i="7"/>
  <c r="F21" i="7" s="1"/>
  <c r="G21" i="7" s="1"/>
  <c r="H20" i="7" s="1"/>
  <c r="E18" i="7"/>
  <c r="F18" i="7" s="1"/>
  <c r="G18" i="7" s="1"/>
  <c r="H17" i="7" s="1"/>
  <c r="E15" i="7"/>
  <c r="F15" i="7" s="1"/>
  <c r="G15" i="7" s="1"/>
  <c r="H14" i="7" s="1"/>
  <c r="E12" i="7"/>
  <c r="F12" i="7" s="1"/>
  <c r="G12" i="7" s="1"/>
  <c r="H203" i="6"/>
  <c r="G203" i="6"/>
  <c r="I203" i="6" s="1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03" i="5" s="1"/>
  <c r="F203" i="4"/>
  <c r="E203" i="4"/>
  <c r="I201" i="4"/>
  <c r="H201" i="4"/>
  <c r="J201" i="4" s="1"/>
  <c r="I200" i="4"/>
  <c r="H200" i="4"/>
  <c r="J200" i="4" s="1"/>
  <c r="I199" i="4"/>
  <c r="J199" i="4" s="1"/>
  <c r="H199" i="4"/>
  <c r="I198" i="4"/>
  <c r="H198" i="4"/>
  <c r="J198" i="4" s="1"/>
  <c r="I197" i="4"/>
  <c r="H197" i="4"/>
  <c r="J197" i="4" s="1"/>
  <c r="J196" i="4"/>
  <c r="I196" i="4"/>
  <c r="H196" i="4"/>
  <c r="I195" i="4"/>
  <c r="J195" i="4" s="1"/>
  <c r="H195" i="4"/>
  <c r="I194" i="4"/>
  <c r="H194" i="4"/>
  <c r="J194" i="4" s="1"/>
  <c r="I193" i="4"/>
  <c r="H193" i="4"/>
  <c r="J193" i="4" s="1"/>
  <c r="I192" i="4"/>
  <c r="H192" i="4"/>
  <c r="J192" i="4" s="1"/>
  <c r="I191" i="4"/>
  <c r="J191" i="4" s="1"/>
  <c r="H191" i="4"/>
  <c r="I190" i="4"/>
  <c r="H190" i="4"/>
  <c r="J190" i="4" s="1"/>
  <c r="I189" i="4"/>
  <c r="H189" i="4"/>
  <c r="J189" i="4" s="1"/>
  <c r="J188" i="4"/>
  <c r="I188" i="4"/>
  <c r="H188" i="4"/>
  <c r="I187" i="4"/>
  <c r="J187" i="4" s="1"/>
  <c r="H187" i="4"/>
  <c r="I186" i="4"/>
  <c r="H186" i="4"/>
  <c r="J186" i="4" s="1"/>
  <c r="I185" i="4"/>
  <c r="H185" i="4"/>
  <c r="J185" i="4" s="1"/>
  <c r="I184" i="4"/>
  <c r="H184" i="4"/>
  <c r="J184" i="4" s="1"/>
  <c r="I183" i="4"/>
  <c r="J183" i="4" s="1"/>
  <c r="H183" i="4"/>
  <c r="I182" i="4"/>
  <c r="H182" i="4"/>
  <c r="J182" i="4" s="1"/>
  <c r="I181" i="4"/>
  <c r="H181" i="4"/>
  <c r="J181" i="4" s="1"/>
  <c r="J180" i="4"/>
  <c r="I180" i="4"/>
  <c r="H180" i="4"/>
  <c r="I179" i="4"/>
  <c r="J179" i="4" s="1"/>
  <c r="H179" i="4"/>
  <c r="I178" i="4"/>
  <c r="H178" i="4"/>
  <c r="J178" i="4" s="1"/>
  <c r="I177" i="4"/>
  <c r="H177" i="4"/>
  <c r="J177" i="4" s="1"/>
  <c r="I176" i="4"/>
  <c r="H176" i="4"/>
  <c r="J176" i="4" s="1"/>
  <c r="I175" i="4"/>
  <c r="J175" i="4" s="1"/>
  <c r="H175" i="4"/>
  <c r="I174" i="4"/>
  <c r="H174" i="4"/>
  <c r="J174" i="4" s="1"/>
  <c r="I173" i="4"/>
  <c r="H173" i="4"/>
  <c r="J173" i="4" s="1"/>
  <c r="J172" i="4"/>
  <c r="I172" i="4"/>
  <c r="H172" i="4"/>
  <c r="I171" i="4"/>
  <c r="J171" i="4" s="1"/>
  <c r="H171" i="4"/>
  <c r="I170" i="4"/>
  <c r="H170" i="4"/>
  <c r="J170" i="4" s="1"/>
  <c r="I169" i="4"/>
  <c r="H169" i="4"/>
  <c r="J169" i="4" s="1"/>
  <c r="I168" i="4"/>
  <c r="H168" i="4"/>
  <c r="J168" i="4" s="1"/>
  <c r="I167" i="4"/>
  <c r="H167" i="4"/>
  <c r="J167" i="4" s="1"/>
  <c r="I166" i="4"/>
  <c r="H166" i="4"/>
  <c r="J166" i="4" s="1"/>
  <c r="I165" i="4"/>
  <c r="H165" i="4"/>
  <c r="J165" i="4" s="1"/>
  <c r="J164" i="4"/>
  <c r="I164" i="4"/>
  <c r="H164" i="4"/>
  <c r="I163" i="4"/>
  <c r="J163" i="4" s="1"/>
  <c r="H163" i="4"/>
  <c r="I162" i="4"/>
  <c r="H162" i="4"/>
  <c r="J162" i="4" s="1"/>
  <c r="I161" i="4"/>
  <c r="H161" i="4"/>
  <c r="J161" i="4" s="1"/>
  <c r="I160" i="4"/>
  <c r="H160" i="4"/>
  <c r="J160" i="4" s="1"/>
  <c r="I159" i="4"/>
  <c r="H159" i="4"/>
  <c r="J159" i="4" s="1"/>
  <c r="I158" i="4"/>
  <c r="H158" i="4"/>
  <c r="J158" i="4" s="1"/>
  <c r="I157" i="4"/>
  <c r="H157" i="4"/>
  <c r="J157" i="4" s="1"/>
  <c r="J156" i="4"/>
  <c r="I156" i="4"/>
  <c r="H156" i="4"/>
  <c r="I155" i="4"/>
  <c r="J155" i="4" s="1"/>
  <c r="H155" i="4"/>
  <c r="I154" i="4"/>
  <c r="H154" i="4"/>
  <c r="J154" i="4" s="1"/>
  <c r="I153" i="4"/>
  <c r="H153" i="4"/>
  <c r="J153" i="4" s="1"/>
  <c r="I152" i="4"/>
  <c r="H152" i="4"/>
  <c r="J152" i="4" s="1"/>
  <c r="I151" i="4"/>
  <c r="H151" i="4"/>
  <c r="J151" i="4" s="1"/>
  <c r="I150" i="4"/>
  <c r="H150" i="4"/>
  <c r="J150" i="4" s="1"/>
  <c r="I149" i="4"/>
  <c r="H149" i="4"/>
  <c r="J149" i="4" s="1"/>
  <c r="J148" i="4"/>
  <c r="I148" i="4"/>
  <c r="H148" i="4"/>
  <c r="I147" i="4"/>
  <c r="J147" i="4" s="1"/>
  <c r="H147" i="4"/>
  <c r="I146" i="4"/>
  <c r="H146" i="4"/>
  <c r="J146" i="4" s="1"/>
  <c r="I145" i="4"/>
  <c r="H145" i="4"/>
  <c r="J145" i="4" s="1"/>
  <c r="I144" i="4"/>
  <c r="H144" i="4"/>
  <c r="J144" i="4" s="1"/>
  <c r="I143" i="4"/>
  <c r="H143" i="4"/>
  <c r="J143" i="4" s="1"/>
  <c r="I142" i="4"/>
  <c r="H142" i="4"/>
  <c r="J142" i="4" s="1"/>
  <c r="I141" i="4"/>
  <c r="H141" i="4"/>
  <c r="J141" i="4" s="1"/>
  <c r="J140" i="4"/>
  <c r="I140" i="4"/>
  <c r="H140" i="4"/>
  <c r="I139" i="4"/>
  <c r="J139" i="4" s="1"/>
  <c r="H139" i="4"/>
  <c r="I138" i="4"/>
  <c r="H138" i="4"/>
  <c r="J138" i="4" s="1"/>
  <c r="I137" i="4"/>
  <c r="H137" i="4"/>
  <c r="J137" i="4" s="1"/>
  <c r="I136" i="4"/>
  <c r="H136" i="4"/>
  <c r="J136" i="4" s="1"/>
  <c r="I135" i="4"/>
  <c r="H135" i="4"/>
  <c r="J135" i="4" s="1"/>
  <c r="I134" i="4"/>
  <c r="H134" i="4"/>
  <c r="J134" i="4" s="1"/>
  <c r="I133" i="4"/>
  <c r="H133" i="4"/>
  <c r="J133" i="4" s="1"/>
  <c r="J132" i="4"/>
  <c r="I132" i="4"/>
  <c r="H132" i="4"/>
  <c r="I131" i="4"/>
  <c r="J131" i="4" s="1"/>
  <c r="H131" i="4"/>
  <c r="I130" i="4"/>
  <c r="H130" i="4"/>
  <c r="J130" i="4" s="1"/>
  <c r="I129" i="4"/>
  <c r="H129" i="4"/>
  <c r="J129" i="4" s="1"/>
  <c r="I128" i="4"/>
  <c r="H128" i="4"/>
  <c r="J128" i="4" s="1"/>
  <c r="I127" i="4"/>
  <c r="H127" i="4"/>
  <c r="J127" i="4" s="1"/>
  <c r="I126" i="4"/>
  <c r="H126" i="4"/>
  <c r="J126" i="4" s="1"/>
  <c r="I125" i="4"/>
  <c r="H125" i="4"/>
  <c r="J125" i="4" s="1"/>
  <c r="J124" i="4"/>
  <c r="I124" i="4"/>
  <c r="H124" i="4"/>
  <c r="I123" i="4"/>
  <c r="J123" i="4" s="1"/>
  <c r="H123" i="4"/>
  <c r="I122" i="4"/>
  <c r="H122" i="4"/>
  <c r="J122" i="4" s="1"/>
  <c r="I121" i="4"/>
  <c r="H121" i="4"/>
  <c r="J121" i="4" s="1"/>
  <c r="I120" i="4"/>
  <c r="H120" i="4"/>
  <c r="J120" i="4" s="1"/>
  <c r="I119" i="4"/>
  <c r="H119" i="4"/>
  <c r="J119" i="4" s="1"/>
  <c r="I118" i="4"/>
  <c r="H118" i="4"/>
  <c r="J118" i="4" s="1"/>
  <c r="I117" i="4"/>
  <c r="H117" i="4"/>
  <c r="J117" i="4" s="1"/>
  <c r="J116" i="4"/>
  <c r="I116" i="4"/>
  <c r="H116" i="4"/>
  <c r="I115" i="4"/>
  <c r="J115" i="4" s="1"/>
  <c r="H115" i="4"/>
  <c r="I114" i="4"/>
  <c r="H114" i="4"/>
  <c r="J114" i="4" s="1"/>
  <c r="I113" i="4"/>
  <c r="H113" i="4"/>
  <c r="J113" i="4" s="1"/>
  <c r="I112" i="4"/>
  <c r="H112" i="4"/>
  <c r="J112" i="4" s="1"/>
  <c r="I111" i="4"/>
  <c r="H111" i="4"/>
  <c r="J111" i="4" s="1"/>
  <c r="I110" i="4"/>
  <c r="H110" i="4"/>
  <c r="J110" i="4" s="1"/>
  <c r="I109" i="4"/>
  <c r="H109" i="4"/>
  <c r="J109" i="4" s="1"/>
  <c r="J108" i="4"/>
  <c r="I108" i="4"/>
  <c r="H108" i="4"/>
  <c r="I107" i="4"/>
  <c r="J107" i="4" s="1"/>
  <c r="H107" i="4"/>
  <c r="I106" i="4"/>
  <c r="H106" i="4"/>
  <c r="J106" i="4" s="1"/>
  <c r="I105" i="4"/>
  <c r="H105" i="4"/>
  <c r="J105" i="4" s="1"/>
  <c r="I104" i="4"/>
  <c r="H104" i="4"/>
  <c r="J104" i="4" s="1"/>
  <c r="I103" i="4"/>
  <c r="H103" i="4"/>
  <c r="J103" i="4" s="1"/>
  <c r="I102" i="4"/>
  <c r="H102" i="4"/>
  <c r="J102" i="4" s="1"/>
  <c r="I101" i="4"/>
  <c r="H101" i="4"/>
  <c r="J101" i="4" s="1"/>
  <c r="J100" i="4"/>
  <c r="I100" i="4"/>
  <c r="H100" i="4"/>
  <c r="I99" i="4"/>
  <c r="J99" i="4" s="1"/>
  <c r="H99" i="4"/>
  <c r="I98" i="4"/>
  <c r="H98" i="4"/>
  <c r="J98" i="4" s="1"/>
  <c r="I97" i="4"/>
  <c r="H97" i="4"/>
  <c r="J97" i="4" s="1"/>
  <c r="I96" i="4"/>
  <c r="H96" i="4"/>
  <c r="J96" i="4" s="1"/>
  <c r="I95" i="4"/>
  <c r="H95" i="4"/>
  <c r="J95" i="4" s="1"/>
  <c r="I94" i="4"/>
  <c r="H94" i="4"/>
  <c r="J94" i="4" s="1"/>
  <c r="I93" i="4"/>
  <c r="H93" i="4"/>
  <c r="J93" i="4" s="1"/>
  <c r="J92" i="4"/>
  <c r="I92" i="4"/>
  <c r="H92" i="4"/>
  <c r="I91" i="4"/>
  <c r="J91" i="4" s="1"/>
  <c r="H91" i="4"/>
  <c r="I90" i="4"/>
  <c r="H90" i="4"/>
  <c r="J90" i="4" s="1"/>
  <c r="I89" i="4"/>
  <c r="H89" i="4"/>
  <c r="J89" i="4" s="1"/>
  <c r="I88" i="4"/>
  <c r="H88" i="4"/>
  <c r="J88" i="4" s="1"/>
  <c r="I87" i="4"/>
  <c r="H87" i="4"/>
  <c r="J87" i="4" s="1"/>
  <c r="I86" i="4"/>
  <c r="H86" i="4"/>
  <c r="J86" i="4" s="1"/>
  <c r="I85" i="4"/>
  <c r="H85" i="4"/>
  <c r="J85" i="4" s="1"/>
  <c r="J84" i="4"/>
  <c r="I84" i="4"/>
  <c r="H84" i="4"/>
  <c r="I83" i="4"/>
  <c r="J83" i="4" s="1"/>
  <c r="H83" i="4"/>
  <c r="I82" i="4"/>
  <c r="H82" i="4"/>
  <c r="J82" i="4" s="1"/>
  <c r="I81" i="4"/>
  <c r="H81" i="4"/>
  <c r="J81" i="4" s="1"/>
  <c r="I80" i="4"/>
  <c r="H80" i="4"/>
  <c r="J80" i="4" s="1"/>
  <c r="I79" i="4"/>
  <c r="H79" i="4"/>
  <c r="J79" i="4" s="1"/>
  <c r="I78" i="4"/>
  <c r="H78" i="4"/>
  <c r="J78" i="4" s="1"/>
  <c r="I77" i="4"/>
  <c r="H77" i="4"/>
  <c r="J77" i="4" s="1"/>
  <c r="J76" i="4"/>
  <c r="I76" i="4"/>
  <c r="H76" i="4"/>
  <c r="I75" i="4"/>
  <c r="J75" i="4" s="1"/>
  <c r="H75" i="4"/>
  <c r="I74" i="4"/>
  <c r="H74" i="4"/>
  <c r="J74" i="4" s="1"/>
  <c r="I73" i="4"/>
  <c r="H73" i="4"/>
  <c r="J73" i="4" s="1"/>
  <c r="I72" i="4"/>
  <c r="H72" i="4"/>
  <c r="J72" i="4" s="1"/>
  <c r="I71" i="4"/>
  <c r="H71" i="4"/>
  <c r="J71" i="4" s="1"/>
  <c r="I70" i="4"/>
  <c r="H70" i="4"/>
  <c r="J70" i="4" s="1"/>
  <c r="I69" i="4"/>
  <c r="H69" i="4"/>
  <c r="J69" i="4" s="1"/>
  <c r="J68" i="4"/>
  <c r="I68" i="4"/>
  <c r="H68" i="4"/>
  <c r="I67" i="4"/>
  <c r="J67" i="4" s="1"/>
  <c r="H67" i="4"/>
  <c r="I66" i="4"/>
  <c r="H66" i="4"/>
  <c r="J66" i="4" s="1"/>
  <c r="I65" i="4"/>
  <c r="H65" i="4"/>
  <c r="J65" i="4" s="1"/>
  <c r="I64" i="4"/>
  <c r="H64" i="4"/>
  <c r="J64" i="4" s="1"/>
  <c r="I63" i="4"/>
  <c r="H63" i="4"/>
  <c r="J63" i="4" s="1"/>
  <c r="I62" i="4"/>
  <c r="H62" i="4"/>
  <c r="J62" i="4" s="1"/>
  <c r="I61" i="4"/>
  <c r="H61" i="4"/>
  <c r="J61" i="4" s="1"/>
  <c r="J60" i="4"/>
  <c r="I60" i="4"/>
  <c r="H60" i="4"/>
  <c r="I59" i="4"/>
  <c r="J59" i="4" s="1"/>
  <c r="H59" i="4"/>
  <c r="I58" i="4"/>
  <c r="H58" i="4"/>
  <c r="J58" i="4" s="1"/>
  <c r="I57" i="4"/>
  <c r="H57" i="4"/>
  <c r="J57" i="4" s="1"/>
  <c r="I56" i="4"/>
  <c r="H56" i="4"/>
  <c r="J56" i="4" s="1"/>
  <c r="I55" i="4"/>
  <c r="H55" i="4"/>
  <c r="J55" i="4" s="1"/>
  <c r="I54" i="4"/>
  <c r="H54" i="4"/>
  <c r="J54" i="4" s="1"/>
  <c r="I53" i="4"/>
  <c r="H53" i="4"/>
  <c r="J53" i="4" s="1"/>
  <c r="J52" i="4"/>
  <c r="I52" i="4"/>
  <c r="H52" i="4"/>
  <c r="I51" i="4"/>
  <c r="J51" i="4" s="1"/>
  <c r="H51" i="4"/>
  <c r="I50" i="4"/>
  <c r="H50" i="4"/>
  <c r="J50" i="4" s="1"/>
  <c r="I49" i="4"/>
  <c r="H49" i="4"/>
  <c r="J49" i="4" s="1"/>
  <c r="I48" i="4"/>
  <c r="H48" i="4"/>
  <c r="J48" i="4" s="1"/>
  <c r="I47" i="4"/>
  <c r="H47" i="4"/>
  <c r="J47" i="4" s="1"/>
  <c r="I46" i="4"/>
  <c r="H46" i="4"/>
  <c r="J46" i="4" s="1"/>
  <c r="I45" i="4"/>
  <c r="H45" i="4"/>
  <c r="J45" i="4" s="1"/>
  <c r="J44" i="4"/>
  <c r="I44" i="4"/>
  <c r="H44" i="4"/>
  <c r="I43" i="4"/>
  <c r="J43" i="4" s="1"/>
  <c r="H43" i="4"/>
  <c r="I42" i="4"/>
  <c r="H42" i="4"/>
  <c r="J42" i="4" s="1"/>
  <c r="I41" i="4"/>
  <c r="H41" i="4"/>
  <c r="J41" i="4" s="1"/>
  <c r="I40" i="4"/>
  <c r="H40" i="4"/>
  <c r="J40" i="4" s="1"/>
  <c r="I39" i="4"/>
  <c r="H39" i="4"/>
  <c r="J39" i="4" s="1"/>
  <c r="I38" i="4"/>
  <c r="H38" i="4"/>
  <c r="J38" i="4" s="1"/>
  <c r="I37" i="4"/>
  <c r="H37" i="4"/>
  <c r="J37" i="4" s="1"/>
  <c r="J36" i="4"/>
  <c r="I36" i="4"/>
  <c r="H36" i="4"/>
  <c r="I35" i="4"/>
  <c r="J35" i="4" s="1"/>
  <c r="H35" i="4"/>
  <c r="I34" i="4"/>
  <c r="H34" i="4"/>
  <c r="J34" i="4" s="1"/>
  <c r="I33" i="4"/>
  <c r="H33" i="4"/>
  <c r="J33" i="4" s="1"/>
  <c r="I32" i="4"/>
  <c r="H32" i="4"/>
  <c r="J32" i="4" s="1"/>
  <c r="I31" i="4"/>
  <c r="H31" i="4"/>
  <c r="J31" i="4" s="1"/>
  <c r="I30" i="4"/>
  <c r="H30" i="4"/>
  <c r="J30" i="4" s="1"/>
  <c r="I29" i="4"/>
  <c r="H29" i="4"/>
  <c r="J29" i="4" s="1"/>
  <c r="J28" i="4"/>
  <c r="I28" i="4"/>
  <c r="H28" i="4"/>
  <c r="I27" i="4"/>
  <c r="J27" i="4" s="1"/>
  <c r="H27" i="4"/>
  <c r="I26" i="4"/>
  <c r="H26" i="4"/>
  <c r="J26" i="4" s="1"/>
  <c r="I25" i="4"/>
  <c r="H25" i="4"/>
  <c r="J25" i="4" s="1"/>
  <c r="I24" i="4"/>
  <c r="H24" i="4"/>
  <c r="J24" i="4" s="1"/>
  <c r="I23" i="4"/>
  <c r="H23" i="4"/>
  <c r="J23" i="4" s="1"/>
  <c r="I22" i="4"/>
  <c r="H22" i="4"/>
  <c r="J22" i="4" s="1"/>
  <c r="I21" i="4"/>
  <c r="H21" i="4"/>
  <c r="J21" i="4" s="1"/>
  <c r="J20" i="4"/>
  <c r="I20" i="4"/>
  <c r="H20" i="4"/>
  <c r="I19" i="4"/>
  <c r="J19" i="4" s="1"/>
  <c r="H19" i="4"/>
  <c r="I18" i="4"/>
  <c r="H18" i="4"/>
  <c r="J18" i="4" s="1"/>
  <c r="I17" i="4"/>
  <c r="H17" i="4"/>
  <c r="J17" i="4" s="1"/>
  <c r="I16" i="4"/>
  <c r="H16" i="4"/>
  <c r="J16" i="4" s="1"/>
  <c r="I15" i="4"/>
  <c r="H15" i="4"/>
  <c r="J15" i="4" s="1"/>
  <c r="I14" i="4"/>
  <c r="H14" i="4"/>
  <c r="J14" i="4" s="1"/>
  <c r="I13" i="4"/>
  <c r="H13" i="4"/>
  <c r="J13" i="4" s="1"/>
  <c r="J12" i="4"/>
  <c r="I12" i="4"/>
  <c r="H12" i="4"/>
  <c r="I11" i="4"/>
  <c r="J11" i="4" s="1"/>
  <c r="H11" i="4"/>
  <c r="I10" i="4"/>
  <c r="H10" i="4"/>
  <c r="J10" i="4" s="1"/>
  <c r="I9" i="4"/>
  <c r="H9" i="4"/>
  <c r="J9" i="4" s="1"/>
  <c r="I8" i="4"/>
  <c r="H8" i="4"/>
  <c r="H203" i="4" s="1"/>
  <c r="I7" i="4"/>
  <c r="H7" i="4"/>
  <c r="J7" i="4" s="1"/>
  <c r="I6" i="4"/>
  <c r="H6" i="4"/>
  <c r="J6" i="4" s="1"/>
  <c r="I5" i="4"/>
  <c r="H5" i="4"/>
  <c r="J5" i="4" s="1"/>
  <c r="J4" i="4"/>
  <c r="I4" i="4"/>
  <c r="I203" i="4" s="1"/>
  <c r="H4" i="4"/>
  <c r="F103" i="3"/>
  <c r="E103" i="3"/>
  <c r="G103" i="3" s="1"/>
  <c r="H101" i="3"/>
  <c r="G101" i="3"/>
  <c r="H100" i="3"/>
  <c r="G100" i="3"/>
  <c r="H99" i="3"/>
  <c r="G99" i="3"/>
  <c r="H98" i="3"/>
  <c r="G98" i="3"/>
  <c r="H97" i="3"/>
  <c r="G97" i="3"/>
  <c r="H96" i="3"/>
  <c r="G96" i="3"/>
  <c r="H95" i="3"/>
  <c r="G95" i="3"/>
  <c r="H94" i="3"/>
  <c r="G94" i="3"/>
  <c r="H93" i="3"/>
  <c r="G93" i="3"/>
  <c r="H92" i="3"/>
  <c r="G92" i="3"/>
  <c r="H91" i="3"/>
  <c r="G91" i="3"/>
  <c r="H90" i="3"/>
  <c r="G90" i="3"/>
  <c r="H89" i="3"/>
  <c r="G89" i="3"/>
  <c r="H88" i="3"/>
  <c r="G88" i="3"/>
  <c r="H87" i="3"/>
  <c r="G87" i="3"/>
  <c r="H86" i="3"/>
  <c r="G86" i="3"/>
  <c r="H85" i="3"/>
  <c r="G85" i="3"/>
  <c r="H84" i="3"/>
  <c r="G84" i="3"/>
  <c r="H83" i="3"/>
  <c r="G83" i="3"/>
  <c r="H82" i="3"/>
  <c r="G82" i="3"/>
  <c r="H81" i="3"/>
  <c r="G81" i="3"/>
  <c r="H80" i="3"/>
  <c r="G80" i="3"/>
  <c r="H79" i="3"/>
  <c r="G79" i="3"/>
  <c r="H78" i="3"/>
  <c r="G78" i="3"/>
  <c r="H77" i="3"/>
  <c r="G77" i="3"/>
  <c r="H76" i="3"/>
  <c r="G76" i="3"/>
  <c r="H75" i="3"/>
  <c r="G75" i="3"/>
  <c r="H74" i="3"/>
  <c r="G74" i="3"/>
  <c r="H73" i="3"/>
  <c r="G73" i="3"/>
  <c r="H72" i="3"/>
  <c r="G72" i="3"/>
  <c r="H71" i="3"/>
  <c r="G71" i="3"/>
  <c r="H70" i="3"/>
  <c r="G70" i="3"/>
  <c r="H69" i="3"/>
  <c r="G69" i="3"/>
  <c r="H68" i="3"/>
  <c r="G68" i="3"/>
  <c r="H67" i="3"/>
  <c r="G67" i="3"/>
  <c r="H66" i="3"/>
  <c r="G66" i="3"/>
  <c r="H65" i="3"/>
  <c r="G65" i="3"/>
  <c r="H64" i="3"/>
  <c r="G64" i="3"/>
  <c r="H63" i="3"/>
  <c r="G63" i="3"/>
  <c r="H62" i="3"/>
  <c r="G62" i="3"/>
  <c r="H61" i="3"/>
  <c r="G61" i="3"/>
  <c r="H60" i="3"/>
  <c r="G60" i="3"/>
  <c r="H59" i="3"/>
  <c r="G59" i="3"/>
  <c r="H58" i="3"/>
  <c r="G58" i="3"/>
  <c r="H57" i="3"/>
  <c r="G57" i="3"/>
  <c r="H56" i="3"/>
  <c r="G56" i="3"/>
  <c r="H55" i="3"/>
  <c r="G55" i="3"/>
  <c r="H54" i="3"/>
  <c r="G54" i="3"/>
  <c r="H53" i="3"/>
  <c r="G53" i="3"/>
  <c r="H52" i="3"/>
  <c r="G52" i="3"/>
  <c r="H51" i="3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G43" i="3"/>
  <c r="H42" i="3"/>
  <c r="G42" i="3"/>
  <c r="H41" i="3"/>
  <c r="G41" i="3"/>
  <c r="H40" i="3"/>
  <c r="G40" i="3"/>
  <c r="H39" i="3"/>
  <c r="G39" i="3"/>
  <c r="H38" i="3"/>
  <c r="G38" i="3"/>
  <c r="H37" i="3"/>
  <c r="G37" i="3"/>
  <c r="H36" i="3"/>
  <c r="G36" i="3"/>
  <c r="H35" i="3"/>
  <c r="G35" i="3"/>
  <c r="H34" i="3"/>
  <c r="G34" i="3"/>
  <c r="H33" i="3"/>
  <c r="G33" i="3"/>
  <c r="H32" i="3"/>
  <c r="G32" i="3"/>
  <c r="H31" i="3"/>
  <c r="G31" i="3"/>
  <c r="H30" i="3"/>
  <c r="G30" i="3"/>
  <c r="H29" i="3"/>
  <c r="G29" i="3"/>
  <c r="H28" i="3"/>
  <c r="G28" i="3"/>
  <c r="H27" i="3"/>
  <c r="G27" i="3"/>
  <c r="H26" i="3"/>
  <c r="G26" i="3"/>
  <c r="H25" i="3"/>
  <c r="G25" i="3"/>
  <c r="H24" i="3"/>
  <c r="G24" i="3"/>
  <c r="H23" i="3"/>
  <c r="G23" i="3"/>
  <c r="H22" i="3"/>
  <c r="G22" i="3"/>
  <c r="H21" i="3"/>
  <c r="G21" i="3"/>
  <c r="H20" i="3"/>
  <c r="G20" i="3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H4" i="3"/>
  <c r="G4" i="3"/>
  <c r="G5" i="1"/>
  <c r="C5" i="1"/>
  <c r="A5" i="1"/>
  <c r="E5" i="1" s="1"/>
  <c r="L2" i="8" l="1"/>
  <c r="K210" i="8"/>
  <c r="G42" i="7"/>
  <c r="H11" i="7"/>
  <c r="H103" i="3"/>
  <c r="J8" i="4"/>
  <c r="J203" i="4" s="1"/>
  <c r="F48" i="7" l="1"/>
  <c r="H42" i="7"/>
  <c r="G43" i="7"/>
  <c r="H43" i="7" s="1"/>
  <c r="G44" i="7" l="1"/>
  <c r="H44" i="7" s="1"/>
</calcChain>
</file>

<file path=xl/sharedStrings.xml><?xml version="1.0" encoding="utf-8"?>
<sst xmlns="http://schemas.openxmlformats.org/spreadsheetml/2006/main" count="380" uniqueCount="263">
  <si>
    <t>GESTAO DE CONTAS DE OBRA</t>
  </si>
  <si>
    <t>Atualizado em: 05/05/2026</t>
  </si>
  <si>
    <t>Total Orcamentado (EUR)</t>
  </si>
  <si>
    <t>Total Executado (EUR)</t>
  </si>
  <si>
    <t>Saldo Disponivel (EUR)</t>
  </si>
  <si>
    <t>N Projetos</t>
  </si>
  <si>
    <t>RESUMO POR PROJETO</t>
  </si>
  <si>
    <t>Projeto</t>
  </si>
  <si>
    <t>Cliente</t>
  </si>
  <si>
    <t>Estado</t>
  </si>
  <si>
    <t>Orcado (EUR)</t>
  </si>
  <si>
    <t>Executado (EUR)</t>
  </si>
  <si>
    <t>Desvio (EUR)</t>
  </si>
  <si>
    <t>% Execucao</t>
  </si>
  <si>
    <t>Prazo Fim</t>
  </si>
  <si>
    <t>REGISTO DE PROJETOS DE OBRA</t>
  </si>
  <si>
    <t>Cod. Projeto</t>
  </si>
  <si>
    <t>Nome do Projeto</t>
  </si>
  <si>
    <t>Localizacao</t>
  </si>
  <si>
    <t>Data Inicio</t>
  </si>
  <si>
    <t>Data Fim</t>
  </si>
  <si>
    <t>Tipo de Obra</t>
  </si>
  <si>
    <t>Responsavel</t>
  </si>
  <si>
    <t>Contacto Cliente</t>
  </si>
  <si>
    <t>Notas</t>
  </si>
  <si>
    <t>Ficheiros</t>
  </si>
  <si>
    <t>OBR-001</t>
  </si>
  <si>
    <t>Moradia Unifamiliar - Lisboa</t>
  </si>
  <si>
    <t>Joao Silva</t>
  </si>
  <si>
    <t>Lisboa</t>
  </si>
  <si>
    <t>2025-01-10</t>
  </si>
  <si>
    <t>2025-08-30</t>
  </si>
  <si>
    <t>Em Curso</t>
  </si>
  <si>
    <t>Construcao Nova</t>
  </si>
  <si>
    <t>Ana Costa</t>
  </si>
  <si>
    <t>912345678</t>
  </si>
  <si>
    <t>OBR-002</t>
  </si>
  <si>
    <t>Remodelacao Escritorios</t>
  </si>
  <si>
    <t>Empresa ABC Lda</t>
  </si>
  <si>
    <t>Porto</t>
  </si>
  <si>
    <t>2025-03-01</t>
  </si>
  <si>
    <t>2025-06-15</t>
  </si>
  <si>
    <t>Remodelacao</t>
  </si>
  <si>
    <t>Pedro Matos</t>
  </si>
  <si>
    <t>934567890</t>
  </si>
  <si>
    <t>Piso 2 e 3</t>
  </si>
  <si>
    <t>OBR-003</t>
  </si>
  <si>
    <t>Armazem Industrial</t>
  </si>
  <si>
    <t>XYZ Logistica</t>
  </si>
  <si>
    <t>Setubal</t>
  </si>
  <si>
    <t>2025-05-01</t>
  </si>
  <si>
    <t>2025-12-31</t>
  </si>
  <si>
    <t>Em Analise</t>
  </si>
  <si>
    <t>Rui Fernandes</t>
  </si>
  <si>
    <t>965432100</t>
  </si>
  <si>
    <t>ORCAMENTOS DE OBRA</t>
  </si>
  <si>
    <t>Registo de orcamentos por projeto e categoria de trabalho</t>
  </si>
  <si>
    <t>Descricao do Trabalho</t>
  </si>
  <si>
    <t>Categoria</t>
  </si>
  <si>
    <t>Fornecedor / Subempreiteiro</t>
  </si>
  <si>
    <t>Valor Orcado (EUR)</t>
  </si>
  <si>
    <t>Valor Executado (EUR)</t>
  </si>
  <si>
    <t>Data Orcamento</t>
  </si>
  <si>
    <t>Observacoes</t>
  </si>
  <si>
    <t>Fundacoes e escavacao</t>
  </si>
  <si>
    <t>Fundacoes</t>
  </si>
  <si>
    <t>Construtora XPTO Lda</t>
  </si>
  <si>
    <t>Aprovado</t>
  </si>
  <si>
    <t>2025-01-15</t>
  </si>
  <si>
    <t>Estrutura betao armado</t>
  </si>
  <si>
    <t>Estrutura</t>
  </si>
  <si>
    <t>Instalacoes eletricas</t>
  </si>
  <si>
    <t>Instalacoes Eletricas</t>
  </si>
  <si>
    <t>ElecPro Lda</t>
  </si>
  <si>
    <t>2025-02-01</t>
  </si>
  <si>
    <t>Fase 1 concluida</t>
  </si>
  <si>
    <t>Instalacoes hidraulicas</t>
  </si>
  <si>
    <t>Instalacoes Hidraulicas</t>
  </si>
  <si>
    <t>HidroMais</t>
  </si>
  <si>
    <t>Pendente</t>
  </si>
  <si>
    <t>Aguarda aprovacao</t>
  </si>
  <si>
    <t>Demolicoes interiores</t>
  </si>
  <si>
    <t>Alvenaria</t>
  </si>
  <si>
    <t>Demo e Cia</t>
  </si>
  <si>
    <t>Concluido</t>
  </si>
  <si>
    <t>2025-03-05</t>
  </si>
  <si>
    <t>Revestimentos pavimento</t>
  </si>
  <si>
    <t>Revestimentos</t>
  </si>
  <si>
    <t>PavShop Lda</t>
  </si>
  <si>
    <t>2025-03-10</t>
  </si>
  <si>
    <t>Projeto e Licencas</t>
  </si>
  <si>
    <t>Outros</t>
  </si>
  <si>
    <t>Gabinete Arq. Silva</t>
  </si>
  <si>
    <t>2025-05-10</t>
  </si>
  <si>
    <t>TOTAIS</t>
  </si>
  <si>
    <t>REGISTO DE MAO DE OBRA</t>
  </si>
  <si>
    <t>Registo de trabalhadores, horas e custos por projeto</t>
  </si>
  <si>
    <t>Nome do Trabalhador</t>
  </si>
  <si>
    <t>Funcao / Categoria</t>
  </si>
  <si>
    <t>Data</t>
  </si>
  <si>
    <t>Horas Normais</t>
  </si>
  <si>
    <t>Horas Extra</t>
  </si>
  <si>
    <t>Custo/Hora (EUR)</t>
  </si>
  <si>
    <t>Custo Normal (EUR)</t>
  </si>
  <si>
    <t>Custo Extra (EUR)</t>
  </si>
  <si>
    <t>Total (EUR)</t>
  </si>
  <si>
    <t>Carlos Mendes</t>
  </si>
  <si>
    <t>Encarregado</t>
  </si>
  <si>
    <t>Antonio Ferreira</t>
  </si>
  <si>
    <t>Pedreiro</t>
  </si>
  <si>
    <t>Manuel Costa</t>
  </si>
  <si>
    <t>Servente</t>
  </si>
  <si>
    <t>2025-03-11</t>
  </si>
  <si>
    <t>Rui Lopes</t>
  </si>
  <si>
    <t>Eletricista</t>
  </si>
  <si>
    <t>2025-04-05</t>
  </si>
  <si>
    <t>Filipe Santos</t>
  </si>
  <si>
    <t>Canalizador</t>
  </si>
  <si>
    <t>Jorge Pinto</t>
  </si>
  <si>
    <t>Pintor</t>
  </si>
  <si>
    <t>2025-04-08</t>
  </si>
  <si>
    <t>Ana Rodrigues</t>
  </si>
  <si>
    <t>Arquiteta</t>
  </si>
  <si>
    <t>2025-05-12</t>
  </si>
  <si>
    <t>REGISTO DE MATERIAIS E COMPRAS</t>
  </si>
  <si>
    <t>Controlo de materiais adquiridos por obra</t>
  </si>
  <si>
    <t>Material / Servico</t>
  </si>
  <si>
    <t>Fornecedor</t>
  </si>
  <si>
    <t>Quantidade</t>
  </si>
  <si>
    <t>Unid.</t>
  </si>
  <si>
    <t>Preco Unit. (EUR)</t>
  </si>
  <si>
    <t>Data Compra</t>
  </si>
  <si>
    <t>No. Fatura</t>
  </si>
  <si>
    <t>Estado Entrega</t>
  </si>
  <si>
    <t>Cimento Portland 42.5</t>
  </si>
  <si>
    <t>Betao</t>
  </si>
  <si>
    <t>Cimpor Lda</t>
  </si>
  <si>
    <t>Saco</t>
  </si>
  <si>
    <t>2025-02-10</t>
  </si>
  <si>
    <t>FAT-001</t>
  </si>
  <si>
    <t>Entregue</t>
  </si>
  <si>
    <t>Vergalhao Ø12 mm</t>
  </si>
  <si>
    <t>Aco</t>
  </si>
  <si>
    <t>Metalfer</t>
  </si>
  <si>
    <t>ml</t>
  </si>
  <si>
    <t>2025-02-12</t>
  </si>
  <si>
    <t>FAT-002</t>
  </si>
  <si>
    <t>Tijolo 30x20x15</t>
  </si>
  <si>
    <t>Ceramica Norte</t>
  </si>
  <si>
    <t>un</t>
  </si>
  <si>
    <t>FAT-015</t>
  </si>
  <si>
    <t>Cabos eletricos 2.5mm²</t>
  </si>
  <si>
    <t>Eletrica</t>
  </si>
  <si>
    <t>EletroStock</t>
  </si>
  <si>
    <t>2025-03-15</t>
  </si>
  <si>
    <t>FAT-022</t>
  </si>
  <si>
    <t>Parcial</t>
  </si>
  <si>
    <t>Alcatifa Escritorio</t>
  </si>
  <si>
    <t>Revestimento</t>
  </si>
  <si>
    <t>DecorLux</t>
  </si>
  <si>
    <t>m2</t>
  </si>
  <si>
    <t>2025-04-10</t>
  </si>
  <si>
    <t>FAT-031</t>
  </si>
  <si>
    <t>Teto falso gesso cart.</t>
  </si>
  <si>
    <t>Gyproc</t>
  </si>
  <si>
    <t>FAT-032</t>
  </si>
  <si>
    <t>Em Transito</t>
  </si>
  <si>
    <t>Betao pronto C25/30</t>
  </si>
  <si>
    <t>Betao Rapido</t>
  </si>
  <si>
    <t>m3</t>
  </si>
  <si>
    <t>2025-05-20</t>
  </si>
  <si>
    <t>TOTAL DE COMPRAS</t>
  </si>
  <si>
    <t>CONTROLO DE FATURAS E PAGAMENTOS</t>
  </si>
  <si>
    <t>Descricao</t>
  </si>
  <si>
    <t>Data Emissao</t>
  </si>
  <si>
    <t>Data Vencimento</t>
  </si>
  <si>
    <t>Valor (EUR)</t>
  </si>
  <si>
    <t>Valor Pago (EUR)</t>
  </si>
  <si>
    <t>Saldo (EUR)</t>
  </si>
  <si>
    <t>Fornecimento cimento</t>
  </si>
  <si>
    <t>Pago</t>
  </si>
  <si>
    <t>Vergalhao estrutural</t>
  </si>
  <si>
    <t>2025-03-12</t>
  </si>
  <si>
    <t>Tijolos</t>
  </si>
  <si>
    <t>2025-04-01</t>
  </si>
  <si>
    <t>Cabos eletricos</t>
  </si>
  <si>
    <t>2025-04-15</t>
  </si>
  <si>
    <t>Alcatifa escritorio</t>
  </si>
  <si>
    <t>Teto falso</t>
  </si>
  <si>
    <t>PRÉ-ORÇAMENTO DE OBRA</t>
  </si>
  <si>
    <t>PROPOSTA:</t>
  </si>
  <si>
    <t>1º</t>
  </si>
  <si>
    <t>CLIENTE:</t>
  </si>
  <si>
    <t>DATA:</t>
  </si>
  <si>
    <t>NIF:</t>
  </si>
  <si>
    <t>VALIDADE:</t>
  </si>
  <si>
    <t>Até aprovação</t>
  </si>
  <si>
    <t>CONDIÇÕES PAGAMENTO:</t>
  </si>
  <si>
    <t>PRAZO:</t>
  </si>
  <si>
    <t>A confirmar</t>
  </si>
  <si>
    <t>OBRA / REFERÊNCIA:</t>
  </si>
  <si>
    <t>MARGEM:</t>
  </si>
  <si>
    <t>IVA:</t>
  </si>
  <si>
    <t>QUANTIDADE</t>
  </si>
  <si>
    <t>DESIGNAÇÃO / DESCRIÇÃO</t>
  </si>
  <si>
    <t>CUSTO/UN (€)</t>
  </si>
  <si>
    <t>MARGEM</t>
  </si>
  <si>
    <t>PREÇO/UN (€)</t>
  </si>
  <si>
    <t>SUB-TOTAL (€)</t>
  </si>
  <si>
    <t>TOTAL (€)</t>
  </si>
  <si>
    <t>Mão de Obra — Encarregado</t>
  </si>
  <si>
    <t>Encarregado de obra, por dia</t>
  </si>
  <si>
    <t>Mão de Obra — Pedreiro</t>
  </si>
  <si>
    <t>Pedreiro especializado, por dia</t>
  </si>
  <si>
    <t>Mão de Obra — Servente</t>
  </si>
  <si>
    <t>Servente de obra, por dia</t>
  </si>
  <si>
    <t>Betão Pronto C25/30</t>
  </si>
  <si>
    <t>Betão estrutural, fornecimento + bombagem, m³</t>
  </si>
  <si>
    <t>Tijolo 30×20×15</t>
  </si>
  <si>
    <t>Alvenaria interior/exterior, por un.</t>
  </si>
  <si>
    <t>Saco Cimento Portland 42.5</t>
  </si>
  <si>
    <t>Cimento para argamassas, por saco 25kg</t>
  </si>
  <si>
    <t>Instalações Elétricas — Fase 1</t>
  </si>
  <si>
    <t>Quadro + circuitos principais, materiais incl.</t>
  </si>
  <si>
    <t>Instalações Hidráulicas</t>
  </si>
  <si>
    <t>Ramal + distribuição, materiais incluídos</t>
  </si>
  <si>
    <t>Tela Impermeabilização SBS</t>
  </si>
  <si>
    <t>Impermeabilização coberturas, por m²</t>
  </si>
  <si>
    <t>Projeto + Licenças</t>
  </si>
  <si>
    <t>Honorários, taxas camarárias e licenças</t>
  </si>
  <si>
    <t>TOTAL S/ IVA</t>
  </si>
  <si>
    <t>IVA (23%)</t>
  </si>
  <si>
    <t>TOTAL C/ IVA</t>
  </si>
  <si>
    <t>RESUMO DE CUSTOS E RENTABILIDADE</t>
  </si>
  <si>
    <t>Total Custo (s/ margem)</t>
  </si>
  <si>
    <t>Total Preço Cliente (s/ IVA)</t>
  </si>
  <si>
    <t>Lucro Bruto (€)</t>
  </si>
  <si>
    <t>Margem Aplicada</t>
  </si>
  <si>
    <t>% Lucro Real</t>
  </si>
  <si>
    <t>NOTAS: Preços s/ IVA. Valores sujeitos a revisão após visita à obra. Mão de obra calculada por dia de trabalho (8h). Materiais cotados a preço de fornecedor.</t>
  </si>
  <si>
    <t>Gestão de Obra</t>
  </si>
  <si>
    <t>ANO / MÊS</t>
  </si>
  <si>
    <t>FOLHA DE HORAS — OBRA</t>
  </si>
  <si>
    <t>Total Horas:</t>
  </si>
  <si>
    <t>ANO:</t>
  </si>
  <si>
    <t>TRABALHADOR</t>
  </si>
  <si>
    <t>INICIAIS</t>
  </si>
  <si>
    <t>FUNÇÃO</t>
  </si>
  <si>
    <t>CUSTO/HORA (€)</t>
  </si>
  <si>
    <t>MÊS Nº:</t>
  </si>
  <si>
    <t>PROJETO:</t>
  </si>
  <si>
    <t>RESPONSÁVEL:</t>
  </si>
  <si>
    <t>FDS</t>
  </si>
  <si>
    <t>DIA</t>
  </si>
  <si>
    <t>PROJETO</t>
  </si>
  <si>
    <t>TAREFA</t>
  </si>
  <si>
    <t>H. NORMAIS</t>
  </si>
  <si>
    <t>H. EXTRA</t>
  </si>
  <si>
    <t>CUSTO/HR (€)</t>
  </si>
  <si>
    <t>António Ferreira</t>
  </si>
  <si>
    <t>RESUMO POR TRABALHADOR</t>
  </si>
  <si>
    <t>TOTAL H.</t>
  </si>
  <si>
    <t>CUSTO TOTAL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</si>
</sst>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€#,##0.00"/>
    <numFmt numFmtId="165" formatCode="0.0%"/>
    <numFmt numFmtId="166" formatCode="#,##0.00&quot; €&quot;"/>
    <numFmt numFmtId="167" formatCode="0.0&quot; h&quot;"/>
    <numFmt numFmtId="168" formatCode="0.0"/>
  </numFmts>
  <fonts count="3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666666"/>
      <name val="Arial"/>
      <charset val="1"/>
    </font>
    <font>
      <sz val="9"/>
      <color rgb="FFFFFFFF"/>
      <name val="Arial"/>
      <charset val="1"/>
    </font>
    <font>
      <b/>
      <sz val="16"/>
      <color rgb="FFFFFFFF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i/>
      <sz val="10"/>
      <color rgb="FF555555"/>
      <name val="Arial"/>
      <charset val="1"/>
    </font>
    <font>
      <sz val="10"/>
      <color rgb="FF000080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b/>
      <sz val="10"/>
      <color rgb="FF6E2FA0"/>
      <name val="Arial"/>
      <charset val="1"/>
    </font>
    <font>
      <b/>
      <sz val="10"/>
      <color rgb="FF27AE60"/>
      <name val="Arial"/>
      <charset val="1"/>
    </font>
    <font>
      <b/>
      <sz val="10"/>
      <color rgb="FFE74C3C"/>
      <name val="Arial"/>
      <charset val="1"/>
    </font>
    <font>
      <b/>
      <sz val="10"/>
      <color rgb="FFF39C12"/>
      <name val="Arial"/>
      <charset val="1"/>
    </font>
    <font>
      <b/>
      <sz val="8"/>
      <color rgb="FF888888"/>
      <name val="Arial"/>
      <charset val="1"/>
    </font>
    <font>
      <b/>
      <sz val="8"/>
      <color rgb="FF1A1A1A"/>
      <name val="Arial"/>
      <charset val="1"/>
    </font>
    <font>
      <b/>
      <sz val="8"/>
      <color rgb="FF0000FF"/>
      <name val="Arial"/>
      <charset val="1"/>
    </font>
    <font>
      <b/>
      <sz val="9"/>
      <color rgb="FFFFFFFF"/>
      <name val="Arial"/>
      <charset val="1"/>
    </font>
    <font>
      <b/>
      <sz val="10"/>
      <color rgb="FF1A1A1A"/>
      <name val="Arial"/>
      <charset val="1"/>
    </font>
    <font>
      <b/>
      <sz val="9"/>
      <color rgb="FF1A1A1A"/>
      <name val="Arial"/>
      <charset val="1"/>
    </font>
    <font>
      <sz val="9"/>
      <color rgb="FF0000FF"/>
      <name val="Arial"/>
      <charset val="1"/>
    </font>
    <font>
      <sz val="9"/>
      <color rgb="FF1A1A1A"/>
      <name val="Arial"/>
      <charset val="1"/>
    </font>
    <font>
      <sz val="7"/>
      <color rgb="FF888888"/>
      <name val="Arial"/>
      <charset val="1"/>
    </font>
    <font>
      <b/>
      <sz val="13"/>
      <color rgb="FFFFFFFF"/>
      <name val="Arial"/>
      <charset val="1"/>
    </font>
    <font>
      <b/>
      <sz val="9"/>
      <color rgb="FF888888"/>
      <name val="Arial"/>
      <charset val="1"/>
    </font>
    <font>
      <sz val="9"/>
      <color rgb="FF888888"/>
      <name val="Arial"/>
      <charset val="1"/>
    </font>
    <font>
      <b/>
      <sz val="9"/>
      <color rgb="FF0000FF"/>
      <name val="Arial"/>
      <charset val="1"/>
    </font>
    <font>
      <sz val="8"/>
      <color rgb="FFFF0000"/>
      <name val="Arial"/>
      <charset val="1"/>
    </font>
    <font>
      <b/>
      <sz val="10"/>
      <color rgb="FF888888"/>
      <name val="Arial"/>
      <charset val="1"/>
    </font>
    <font>
      <b/>
      <sz val="16"/>
      <color rgb="FF000000"/>
      <name val="Arial"/>
      <charset val="1"/>
    </font>
    <font>
      <sz val="12"/>
      <color rgb="FF000000"/>
      <name val="Arial"/>
      <charset val="1"/>
    </font>
    <font>
      <b/>
      <sz val="14"/>
      <color rgb="FF000000"/>
      <name val="Arial"/>
      <charset val="1"/>
    </font>
    <font>
      <b/>
      <sz val="10"/>
      <color rgb="FF000000"/>
      <name val="Arial"/>
      <charset val="1"/>
    </font>
    <font>
      <sz val="8"/>
      <color rgb="FFCC0000"/>
      <name val="Arial"/>
      <charset val="1"/>
    </font>
  </fonts>
  <fills count="20">
    <fill>
      <patternFill patternType="none"/>
    </fill>
    <fill>
      <patternFill patternType="gray125"/>
    </fill>
    <fill>
      <patternFill patternType="solid">
        <fgColor rgb="FF1B2A3B"/>
        <bgColor rgb="FF262626"/>
      </patternFill>
    </fill>
    <fill>
      <patternFill patternType="solid">
        <fgColor rgb="FF2E86AB"/>
        <bgColor rgb="FF1E8449"/>
      </patternFill>
    </fill>
    <fill>
      <patternFill patternType="solid">
        <fgColor rgb="FFF39C12"/>
        <bgColor rgb="FFFFCC00"/>
      </patternFill>
    </fill>
    <fill>
      <patternFill patternType="solid">
        <fgColor rgb="FF27AE60"/>
        <bgColor rgb="FF1E8449"/>
      </patternFill>
    </fill>
    <fill>
      <patternFill patternType="solid">
        <fgColor rgb="FFEBF5FB"/>
        <bgColor rgb="FFE9F7EF"/>
      </patternFill>
    </fill>
    <fill>
      <patternFill patternType="solid">
        <fgColor rgb="FFFFFFFF"/>
        <bgColor rgb="FFF7F7F7"/>
      </patternFill>
    </fill>
    <fill>
      <patternFill patternType="solid">
        <fgColor rgb="FFD6EAF8"/>
        <bgColor rgb="FFEBF5FB"/>
      </patternFill>
    </fill>
    <fill>
      <patternFill patternType="solid">
        <fgColor rgb="FF1A5276"/>
        <bgColor rgb="FF404040"/>
      </patternFill>
    </fill>
    <fill>
      <patternFill patternType="solid">
        <fgColor rgb="FF1E8449"/>
        <bgColor rgb="FF008000"/>
      </patternFill>
    </fill>
    <fill>
      <patternFill patternType="solid">
        <fgColor rgb="FFE9F7EF"/>
        <bgColor rgb="FFEBF5FB"/>
      </patternFill>
    </fill>
    <fill>
      <patternFill patternType="solid">
        <fgColor rgb="FF6E2FA0"/>
        <bgColor rgb="FF800080"/>
      </patternFill>
    </fill>
    <fill>
      <patternFill patternType="solid">
        <fgColor rgb="FFF5EEF8"/>
        <bgColor rgb="FFF5F5F5"/>
      </patternFill>
    </fill>
    <fill>
      <patternFill patternType="solid">
        <fgColor rgb="FF922B21"/>
        <bgColor rgb="FF800000"/>
      </patternFill>
    </fill>
    <fill>
      <patternFill patternType="solid">
        <fgColor rgb="FFFDEDEC"/>
        <bgColor rgb="FFF5EEF8"/>
      </patternFill>
    </fill>
    <fill>
      <patternFill patternType="solid">
        <fgColor rgb="FF262626"/>
        <bgColor rgb="FF1B2A3B"/>
      </patternFill>
    </fill>
    <fill>
      <patternFill patternType="solid">
        <fgColor rgb="FFF5F5F5"/>
        <bgColor rgb="FFF7F7F7"/>
      </patternFill>
    </fill>
    <fill>
      <patternFill patternType="solid">
        <fgColor rgb="FF404040"/>
        <bgColor rgb="FF555555"/>
      </patternFill>
    </fill>
    <fill>
      <patternFill patternType="solid">
        <fgColor rgb="FFF7F7F7"/>
        <bgColor rgb="FFF5F5F5"/>
      </patternFill>
    </fill>
  </fills>
  <borders count="9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0" fillId="2" borderId="0" xfId="0" applyFill="1"/>
    <xf numFmtId="0" fontId="0" fillId="5" borderId="0" xfId="0" applyFill="1"/>
    <xf numFmtId="0" fontId="0" fillId="4" borderId="0" xfId="0" applyFill="1"/>
    <xf numFmtId="0" fontId="0" fillId="3" borderId="0" xfId="0" applyFill="1"/>
    <xf numFmtId="1" fontId="4" fillId="2" borderId="0" xfId="0" applyNumberFormat="1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4" fontId="7" fillId="7" borderId="1" xfId="0" applyNumberFormat="1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4" fontId="7" fillId="8" borderId="1" xfId="0" applyNumberFormat="1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right" vertical="center"/>
    </xf>
    <xf numFmtId="165" fontId="10" fillId="8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right" vertical="center"/>
    </xf>
    <xf numFmtId="165" fontId="10" fillId="7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right" vertical="center"/>
    </xf>
    <xf numFmtId="165" fontId="11" fillId="2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/>
    </xf>
    <xf numFmtId="14" fontId="7" fillId="11" borderId="1" xfId="0" applyNumberFormat="1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right" vertical="center"/>
    </xf>
    <xf numFmtId="0" fontId="12" fillId="11" borderId="1" xfId="0" applyFont="1" applyFill="1" applyBorder="1" applyAlignment="1">
      <alignment horizontal="right" vertical="center"/>
    </xf>
    <xf numFmtId="0" fontId="12" fillId="7" borderId="1" xfId="0" applyFont="1" applyFill="1" applyBorder="1" applyAlignment="1">
      <alignment horizontal="right" vertical="center"/>
    </xf>
    <xf numFmtId="0" fontId="7" fillId="11" borderId="1" xfId="0" applyFont="1" applyFill="1" applyBorder="1" applyAlignment="1">
      <alignment horizontal="right" vertical="center"/>
    </xf>
    <xf numFmtId="1" fontId="11" fillId="10" borderId="1" xfId="0" applyNumberFormat="1" applyFont="1" applyFill="1" applyBorder="1" applyAlignment="1">
      <alignment horizontal="right" vertical="center"/>
    </xf>
    <xf numFmtId="0" fontId="11" fillId="10" borderId="1" xfId="0" applyFont="1" applyFill="1" applyBorder="1" applyAlignment="1">
      <alignment horizontal="right" vertical="center"/>
    </xf>
    <xf numFmtId="0" fontId="6" fillId="12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left" vertical="center"/>
    </xf>
    <xf numFmtId="0" fontId="13" fillId="13" borderId="1" xfId="0" applyFont="1" applyFill="1" applyBorder="1" applyAlignment="1">
      <alignment horizontal="right" vertical="center"/>
    </xf>
    <xf numFmtId="14" fontId="7" fillId="13" borderId="1" xfId="0" applyNumberFormat="1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right" vertical="center"/>
    </xf>
    <xf numFmtId="0" fontId="7" fillId="13" borderId="1" xfId="0" applyFont="1" applyFill="1" applyBorder="1" applyAlignment="1">
      <alignment horizontal="right" vertical="center"/>
    </xf>
    <xf numFmtId="0" fontId="11" fillId="12" borderId="1" xfId="0" applyFont="1" applyFill="1" applyBorder="1" applyAlignment="1">
      <alignment horizontal="right" vertical="center"/>
    </xf>
    <xf numFmtId="0" fontId="6" fillId="14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left" vertical="center"/>
    </xf>
    <xf numFmtId="14" fontId="7" fillId="15" borderId="1" xfId="0" applyNumberFormat="1" applyFont="1" applyFill="1" applyBorder="1" applyAlignment="1">
      <alignment horizontal="left" vertical="center"/>
    </xf>
    <xf numFmtId="0" fontId="14" fillId="15" borderId="1" xfId="0" applyFont="1" applyFill="1" applyBorder="1" applyAlignment="1">
      <alignment horizontal="left" vertical="center"/>
    </xf>
    <xf numFmtId="0" fontId="14" fillId="7" borderId="1" xfId="0" applyFont="1" applyFill="1" applyBorder="1" applyAlignment="1">
      <alignment horizontal="left" vertical="center"/>
    </xf>
    <xf numFmtId="0" fontId="15" fillId="15" borderId="1" xfId="0" applyFont="1" applyFill="1" applyBorder="1" applyAlignment="1">
      <alignment horizontal="left" vertical="center"/>
    </xf>
    <xf numFmtId="0" fontId="16" fillId="7" borderId="1" xfId="0" applyFont="1" applyFill="1" applyBorder="1" applyAlignment="1">
      <alignment horizontal="left" vertical="center"/>
    </xf>
    <xf numFmtId="0" fontId="15" fillId="7" borderId="1" xfId="0" applyFont="1" applyFill="1" applyBorder="1" applyAlignment="1">
      <alignment horizontal="left" vertical="center"/>
    </xf>
    <xf numFmtId="0" fontId="7" fillId="15" borderId="1" xfId="0" applyFont="1" applyFill="1" applyBorder="1" applyAlignment="1">
      <alignment horizontal="right" vertical="center"/>
    </xf>
    <xf numFmtId="0" fontId="11" fillId="14" borderId="1" xfId="0" applyFont="1" applyFill="1" applyBorder="1" applyAlignment="1">
      <alignment horizontal="right" vertical="center"/>
    </xf>
    <xf numFmtId="0" fontId="0" fillId="16" borderId="0" xfId="0" applyFill="1"/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9" fontId="19" fillId="0" borderId="0" xfId="0" applyNumberFormat="1" applyFont="1" applyAlignment="1">
      <alignment horizontal="left" vertical="center"/>
    </xf>
    <xf numFmtId="0" fontId="20" fillId="16" borderId="0" xfId="0" applyFont="1" applyFill="1" applyAlignment="1">
      <alignment horizontal="center" vertical="center"/>
    </xf>
    <xf numFmtId="0" fontId="20" fillId="16" borderId="0" xfId="0" applyFont="1" applyFill="1" applyAlignment="1">
      <alignment horizontal="left" vertical="center"/>
    </xf>
    <xf numFmtId="0" fontId="20" fillId="16" borderId="0" xfId="0" applyFont="1" applyFill="1" applyAlignment="1">
      <alignment horizontal="right" vertical="center"/>
    </xf>
    <xf numFmtId="0" fontId="0" fillId="7" borderId="0" xfId="0" applyFill="1"/>
    <xf numFmtId="0" fontId="22" fillId="7" borderId="0" xfId="0" applyFont="1" applyFill="1" applyAlignment="1">
      <alignment horizontal="left" vertical="center"/>
    </xf>
    <xf numFmtId="4" fontId="23" fillId="7" borderId="0" xfId="0" applyNumberFormat="1" applyFont="1" applyFill="1" applyAlignment="1">
      <alignment horizontal="right" vertical="center"/>
    </xf>
    <xf numFmtId="9" fontId="24" fillId="7" borderId="0" xfId="0" applyNumberFormat="1" applyFont="1" applyFill="1" applyAlignment="1">
      <alignment horizontal="center" vertical="center"/>
    </xf>
    <xf numFmtId="4" fontId="24" fillId="7" borderId="0" xfId="0" applyNumberFormat="1" applyFont="1" applyFill="1" applyAlignment="1">
      <alignment horizontal="right" vertical="center"/>
    </xf>
    <xf numFmtId="0" fontId="25" fillId="7" borderId="0" xfId="0" applyFont="1" applyFill="1" applyAlignment="1">
      <alignment horizontal="left" vertical="center"/>
    </xf>
    <xf numFmtId="4" fontId="11" fillId="16" borderId="0" xfId="0" applyNumberFormat="1" applyFont="1" applyFill="1" applyAlignment="1">
      <alignment horizontal="right" vertical="center"/>
    </xf>
    <xf numFmtId="4" fontId="26" fillId="16" borderId="0" xfId="0" applyNumberFormat="1" applyFont="1" applyFill="1" applyAlignment="1">
      <alignment horizontal="right" vertical="center"/>
    </xf>
    <xf numFmtId="4" fontId="22" fillId="17" borderId="0" xfId="0" applyNumberFormat="1" applyFont="1" applyFill="1" applyAlignment="1">
      <alignment horizontal="right" vertical="center"/>
    </xf>
    <xf numFmtId="0" fontId="0" fillId="17" borderId="0" xfId="0" applyFill="1"/>
    <xf numFmtId="166" fontId="5" fillId="16" borderId="0" xfId="0" applyNumberFormat="1" applyFont="1" applyFill="1" applyAlignment="1">
      <alignment horizontal="right" vertical="center"/>
    </xf>
    <xf numFmtId="166" fontId="1" fillId="16" borderId="0" xfId="0" applyNumberFormat="1" applyFont="1" applyFill="1" applyAlignment="1">
      <alignment horizontal="right" vertical="center"/>
    </xf>
    <xf numFmtId="0" fontId="31" fillId="0" borderId="0" xfId="0" applyFont="1" applyAlignment="1">
      <alignment horizontal="right" vertical="center"/>
    </xf>
    <xf numFmtId="1" fontId="35" fillId="0" borderId="0" xfId="0" applyNumberFormat="1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5" fillId="0" borderId="0" xfId="0" applyFont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0" fontId="6" fillId="18" borderId="3" xfId="0" applyFont="1" applyFill="1" applyBorder="1" applyAlignment="1">
      <alignment horizontal="center" vertical="center"/>
    </xf>
    <xf numFmtId="0" fontId="0" fillId="18" borderId="0" xfId="0" applyFill="1"/>
    <xf numFmtId="0" fontId="3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8" fontId="7" fillId="0" borderId="5" xfId="0" applyNumberFormat="1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right" vertical="center"/>
    </xf>
    <xf numFmtId="164" fontId="35" fillId="0" borderId="5" xfId="0" applyNumberFormat="1" applyFont="1" applyBorder="1" applyAlignment="1">
      <alignment horizontal="right" vertical="center"/>
    </xf>
    <xf numFmtId="167" fontId="11" fillId="18" borderId="3" xfId="0" applyNumberFormat="1" applyFont="1" applyFill="1" applyBorder="1" applyAlignment="1">
      <alignment horizontal="right" vertical="center"/>
    </xf>
    <xf numFmtId="0" fontId="11" fillId="18" borderId="3" xfId="0" applyFont="1" applyFill="1" applyBorder="1" applyAlignment="1">
      <alignment horizontal="right" vertical="center"/>
    </xf>
    <xf numFmtId="164" fontId="11" fillId="18" borderId="3" xfId="0" applyNumberFormat="1" applyFont="1" applyFill="1" applyBorder="1" applyAlignment="1">
      <alignment horizontal="right" vertical="center"/>
    </xf>
    <xf numFmtId="0" fontId="20" fillId="18" borderId="3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19" borderId="8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1" fillId="9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1" fillId="2" borderId="2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4" fontId="22" fillId="7" borderId="0" xfId="0" applyNumberFormat="1" applyFont="1" applyFill="1" applyAlignment="1">
      <alignment horizontal="right" vertical="center"/>
    </xf>
    <xf numFmtId="0" fontId="11" fillId="16" borderId="0" xfId="0" applyFont="1" applyFill="1" applyAlignment="1">
      <alignment horizontal="right" vertical="center"/>
    </xf>
    <xf numFmtId="0" fontId="27" fillId="17" borderId="0" xfId="0" applyFont="1" applyFill="1" applyAlignment="1">
      <alignment horizontal="right" vertical="center"/>
    </xf>
    <xf numFmtId="0" fontId="5" fillId="16" borderId="0" xfId="0" applyFont="1" applyFill="1" applyAlignment="1">
      <alignment horizontal="right" vertical="center"/>
    </xf>
    <xf numFmtId="0" fontId="20" fillId="16" borderId="0" xfId="0" applyFont="1" applyFill="1" applyAlignment="1">
      <alignment horizontal="center" vertical="center"/>
    </xf>
    <xf numFmtId="0" fontId="28" fillId="17" borderId="0" xfId="0" applyFont="1" applyFill="1" applyAlignment="1">
      <alignment horizontal="right" vertical="center"/>
    </xf>
    <xf numFmtId="4" fontId="22" fillId="17" borderId="0" xfId="0" applyNumberFormat="1" applyFont="1" applyFill="1" applyAlignment="1">
      <alignment horizontal="right" vertical="center"/>
    </xf>
    <xf numFmtId="165" fontId="29" fillId="17" borderId="0" xfId="0" applyNumberFormat="1" applyFont="1" applyFill="1" applyAlignment="1">
      <alignment horizontal="right" vertical="center"/>
    </xf>
    <xf numFmtId="165" fontId="22" fillId="17" borderId="0" xfId="0" applyNumberFormat="1" applyFont="1" applyFill="1" applyAlignment="1">
      <alignment horizontal="right" vertical="center"/>
    </xf>
    <xf numFmtId="0" fontId="30" fillId="0" borderId="0" xfId="0" applyFont="1" applyAlignment="1">
      <alignment horizontal="center" vertical="center" wrapText="1"/>
    </xf>
    <xf numFmtId="0" fontId="20" fillId="16" borderId="0" xfId="0" applyFont="1" applyFill="1" applyAlignment="1">
      <alignment horizontal="right" vertical="center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67" fontId="34" fillId="0" borderId="0" xfId="0" applyNumberFormat="1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6" fillId="18" borderId="4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1" fillId="18" borderId="4" xfId="0" applyFont="1" applyFill="1" applyBorder="1" applyAlignment="1">
      <alignment horizontal="right" vertical="center"/>
    </xf>
    <xf numFmtId="0" fontId="11" fillId="18" borderId="4" xfId="0" applyFont="1" applyFill="1" applyBorder="1" applyAlignment="1">
      <alignment horizontal="center" vertical="center"/>
    </xf>
    <xf numFmtId="0" fontId="20" fillId="18" borderId="4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19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8000"/>
      <rgbColor rgb="FF000080"/>
      <rgbColor rgb="FF808000"/>
      <rgbColor rgb="FF800080"/>
      <rgbColor rgb="FF1E8449"/>
      <rgbColor rgb="FFBDBDBD"/>
      <rgbColor rgb="FF888888"/>
      <rgbColor rgb="FF9999FF"/>
      <rgbColor rgb="FF6E2FA0"/>
      <rgbColor rgb="FFF7F7F7"/>
      <rgbColor rgb="FFD6EAF8"/>
      <rgbColor rgb="FF660066"/>
      <rgbColor rgb="FFFF8080"/>
      <rgbColor rgb="FF0066CC"/>
      <rgbColor rgb="FFF5EEF8"/>
      <rgbColor rgb="FF000080"/>
      <rgbColor rgb="FFFF00FF"/>
      <rgbColor rgb="FFFFFF00"/>
      <rgbColor rgb="FF00FFFF"/>
      <rgbColor rgb="FF800080"/>
      <rgbColor rgb="FF800000"/>
      <rgbColor rgb="FF2E86AB"/>
      <rgbColor rgb="FF0000FF"/>
      <rgbColor rgb="FF00CCFF"/>
      <rgbColor rgb="FFE9F7EF"/>
      <rgbColor rgb="FFEBF5FB"/>
      <rgbColor rgb="FFFDEDEC"/>
      <rgbColor rgb="FF99CCFF"/>
      <rgbColor rgb="FFFF99CC"/>
      <rgbColor rgb="FFCC99FF"/>
      <rgbColor rgb="FFF5F5F5"/>
      <rgbColor rgb="FF3366FF"/>
      <rgbColor rgb="FF33CCCC"/>
      <rgbColor rgb="FF99CC00"/>
      <rgbColor rgb="FFFFCC00"/>
      <rgbColor rgb="FFF39C12"/>
      <rgbColor rgb="FFE74C3C"/>
      <rgbColor rgb="FF666666"/>
      <rgbColor rgb="FF969696"/>
      <rgbColor rgb="FF1B2A3B"/>
      <rgbColor rgb="FF27AE60"/>
      <rgbColor rgb="FF1A1A1A"/>
      <rgbColor rgb="FF404040"/>
      <rgbColor rgb="FF922B21"/>
      <rgbColor rgb="FF555555"/>
      <rgbColor rgb="FF1A5276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zoomScaleNormal="100" workbookViewId="0"/>
  </sheetViews>
  <sheetFormatPr defaultColWidth="8.6640625" defaultRowHeight="14.4" x14ac:dyDescent="0.3"/>
  <cols>
    <col min="1" max="1" width="22" customWidth="1"/>
    <col min="2" max="2" width="20" customWidth="1"/>
    <col min="3" max="3" width="14" customWidth="1"/>
    <col min="4" max="6" width="16" customWidth="1"/>
    <col min="7" max="7" width="13" customWidth="1"/>
    <col min="8" max="8" width="14" customWidth="1"/>
  </cols>
  <sheetData>
    <row r="1" spans="1:8" ht="31.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5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4" spans="1:8" ht="18" customHeight="1" x14ac:dyDescent="0.3">
      <c r="A4" s="12" t="s">
        <v>2</v>
      </c>
      <c r="B4" s="12"/>
      <c r="C4" s="11" t="s">
        <v>3</v>
      </c>
      <c r="D4" s="11"/>
      <c r="E4" s="10" t="s">
        <v>4</v>
      </c>
      <c r="F4" s="10"/>
      <c r="G4" s="9" t="s">
        <v>5</v>
      </c>
      <c r="H4" s="9"/>
    </row>
    <row r="5" spans="1:8" ht="30" customHeight="1" x14ac:dyDescent="0.3">
      <c r="A5" s="8">
        <f>SUMIF(Orcamentos!A:A,"&lt;&gt;",Orcamentos!E:E)</f>
        <v>366000</v>
      </c>
      <c r="B5" s="8"/>
      <c r="C5" s="7">
        <f>SUMIF(Orcamentos!A:A,"&lt;&gt;",Orcamentos!F:F)</f>
        <v>247400</v>
      </c>
      <c r="D5" s="7"/>
      <c r="E5" s="6">
        <f>A5-C5</f>
        <v>118600</v>
      </c>
      <c r="F5" s="6"/>
      <c r="G5" s="5">
        <f>COUNTA(Projetos!B:B)-1</f>
        <v>3</v>
      </c>
      <c r="H5" s="5"/>
    </row>
    <row r="6" spans="1:8" ht="7.5" customHeight="1" x14ac:dyDescent="0.3">
      <c r="A6" s="4"/>
      <c r="B6" s="4"/>
      <c r="C6" s="3"/>
      <c r="D6" s="3"/>
      <c r="E6" s="2"/>
      <c r="F6" s="2"/>
      <c r="G6" s="1"/>
      <c r="H6" s="1"/>
    </row>
    <row r="7" spans="1:8" ht="9.75" customHeight="1" x14ac:dyDescent="0.3"/>
    <row r="8" spans="1:8" ht="21.75" customHeight="1" x14ac:dyDescent="0.3">
      <c r="A8" s="100" t="s">
        <v>6</v>
      </c>
      <c r="B8" s="100"/>
      <c r="C8" s="100"/>
      <c r="D8" s="100"/>
      <c r="E8" s="100"/>
      <c r="F8" s="100"/>
      <c r="G8" s="100"/>
      <c r="H8" s="100"/>
    </row>
    <row r="9" spans="1:8" ht="19.5" customHeight="1" x14ac:dyDescent="0.3">
      <c r="A9" s="15" t="s">
        <v>7</v>
      </c>
      <c r="B9" s="15" t="s">
        <v>8</v>
      </c>
      <c r="C9" s="15" t="s">
        <v>9</v>
      </c>
      <c r="D9" s="15" t="s">
        <v>10</v>
      </c>
      <c r="E9" s="15" t="s">
        <v>11</v>
      </c>
      <c r="F9" s="15" t="s">
        <v>12</v>
      </c>
      <c r="G9" s="15" t="s">
        <v>13</v>
      </c>
      <c r="H9" s="15" t="s">
        <v>14</v>
      </c>
    </row>
    <row r="10" spans="1:8" ht="15" customHeight="1" x14ac:dyDescent="0.3">
      <c r="A10" s="16"/>
      <c r="B10" s="16"/>
      <c r="C10" s="16"/>
      <c r="D10" s="16"/>
      <c r="E10" s="16"/>
      <c r="F10" s="16"/>
      <c r="G10" s="16"/>
      <c r="H10" s="16"/>
    </row>
    <row r="11" spans="1:8" ht="15" customHeight="1" x14ac:dyDescent="0.3">
      <c r="A11" s="17"/>
      <c r="B11" s="17"/>
      <c r="C11" s="17"/>
      <c r="D11" s="17"/>
      <c r="E11" s="17"/>
      <c r="F11" s="17"/>
      <c r="G11" s="17"/>
      <c r="H11" s="17"/>
    </row>
    <row r="12" spans="1:8" ht="15" customHeight="1" x14ac:dyDescent="0.3">
      <c r="A12" s="16"/>
      <c r="B12" s="16"/>
      <c r="C12" s="16"/>
      <c r="D12" s="16"/>
      <c r="E12" s="16"/>
      <c r="F12" s="16"/>
      <c r="G12" s="16"/>
      <c r="H12" s="16"/>
    </row>
    <row r="13" spans="1:8" ht="15" customHeight="1" x14ac:dyDescent="0.3">
      <c r="A13" s="17"/>
      <c r="B13" s="17"/>
      <c r="C13" s="17"/>
      <c r="D13" s="17"/>
      <c r="E13" s="17"/>
      <c r="F13" s="17"/>
      <c r="G13" s="17"/>
      <c r="H13" s="17"/>
    </row>
    <row r="14" spans="1:8" ht="15" customHeight="1" x14ac:dyDescent="0.3">
      <c r="A14" s="16"/>
      <c r="B14" s="16"/>
      <c r="C14" s="16"/>
      <c r="D14" s="16"/>
      <c r="E14" s="16"/>
      <c r="F14" s="16"/>
      <c r="G14" s="16"/>
      <c r="H14" s="16"/>
    </row>
    <row r="15" spans="1:8" ht="15" customHeight="1" x14ac:dyDescent="0.3">
      <c r="A15" s="17"/>
      <c r="B15" s="17"/>
      <c r="C15" s="17"/>
      <c r="D15" s="17"/>
      <c r="E15" s="17"/>
      <c r="F15" s="17"/>
      <c r="G15" s="17"/>
      <c r="H15" s="17"/>
    </row>
    <row r="16" spans="1:8" ht="15" customHeight="1" x14ac:dyDescent="0.3">
      <c r="A16" s="16"/>
      <c r="B16" s="16"/>
      <c r="C16" s="16"/>
      <c r="D16" s="16"/>
      <c r="E16" s="16"/>
      <c r="F16" s="16"/>
      <c r="G16" s="16"/>
      <c r="H16" s="16"/>
    </row>
    <row r="17" spans="1:8" ht="15" customHeight="1" x14ac:dyDescent="0.3">
      <c r="A17" s="17"/>
      <c r="B17" s="17"/>
      <c r="C17" s="17"/>
      <c r="D17" s="17"/>
      <c r="E17" s="17"/>
      <c r="F17" s="17"/>
      <c r="G17" s="17"/>
      <c r="H17" s="17"/>
    </row>
    <row r="18" spans="1:8" ht="15" customHeight="1" x14ac:dyDescent="0.3">
      <c r="A18" s="16"/>
      <c r="B18" s="16"/>
      <c r="C18" s="16"/>
      <c r="D18" s="16"/>
      <c r="E18" s="16"/>
      <c r="F18" s="16"/>
      <c r="G18" s="16"/>
      <c r="H18" s="16"/>
    </row>
    <row r="19" spans="1:8" ht="15" customHeight="1" x14ac:dyDescent="0.3">
      <c r="A19" s="17"/>
      <c r="B19" s="17"/>
      <c r="C19" s="17"/>
      <c r="D19" s="17"/>
      <c r="E19" s="17"/>
      <c r="F19" s="17"/>
      <c r="G19" s="17"/>
      <c r="H19" s="17"/>
    </row>
  </sheetData>
  <mergeCells count="15">
    <mergeCell ref="A8:H8"/>
    <mergeCell ref="A5:B5"/>
    <mergeCell ref="C5:D5"/>
    <mergeCell ref="E5:F5"/>
    <mergeCell ref="G5:H5"/>
    <mergeCell ref="A6:B6"/>
    <mergeCell ref="C6:D6"/>
    <mergeCell ref="E6:F6"/>
    <mergeCell ref="G6:H6"/>
    <mergeCell ref="A1:H1"/>
    <mergeCell ref="A2:H2"/>
    <mergeCell ref="A4:B4"/>
    <mergeCell ref="C4:D4"/>
    <mergeCell ref="E4:F4"/>
    <mergeCell ref="G4:H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30" customWidth="1"/>
    <col min="3" max="3" width="22" customWidth="1"/>
    <col min="4" max="4" width="18" customWidth="1"/>
    <col min="5" max="7" width="13" customWidth="1"/>
    <col min="8" max="9" width="18" customWidth="1"/>
    <col min="10" max="10" width="16" customWidth="1"/>
    <col min="11" max="11" width="24" customWidth="1"/>
    <col min="12" max="12" width="16" customWidth="1"/>
  </cols>
  <sheetData>
    <row r="1" spans="1:12" ht="31.5" customHeight="1" x14ac:dyDescent="0.3">
      <c r="A1" s="14" t="s">
        <v>15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1.75" customHeight="1" x14ac:dyDescent="0.3">
      <c r="A2" s="15" t="s">
        <v>16</v>
      </c>
      <c r="B2" s="15" t="s">
        <v>17</v>
      </c>
      <c r="C2" s="15" t="s">
        <v>8</v>
      </c>
      <c r="D2" s="15" t="s">
        <v>18</v>
      </c>
      <c r="E2" s="15" t="s">
        <v>19</v>
      </c>
      <c r="F2" s="15" t="s">
        <v>20</v>
      </c>
      <c r="G2" s="15" t="s">
        <v>9</v>
      </c>
      <c r="H2" s="15" t="s">
        <v>21</v>
      </c>
      <c r="I2" s="15" t="s">
        <v>22</v>
      </c>
      <c r="J2" s="15" t="s">
        <v>23</v>
      </c>
      <c r="K2" s="15" t="s">
        <v>24</v>
      </c>
      <c r="L2" s="15" t="s">
        <v>25</v>
      </c>
    </row>
    <row r="3" spans="1:12" ht="15" customHeight="1" x14ac:dyDescent="0.3">
      <c r="A3" s="17" t="s">
        <v>26</v>
      </c>
      <c r="B3" s="17" t="s">
        <v>27</v>
      </c>
      <c r="C3" s="17" t="s">
        <v>28</v>
      </c>
      <c r="D3" s="17" t="s">
        <v>29</v>
      </c>
      <c r="E3" s="18" t="s">
        <v>30</v>
      </c>
      <c r="F3" s="18" t="s">
        <v>31</v>
      </c>
      <c r="G3" s="17" t="s">
        <v>32</v>
      </c>
      <c r="H3" s="17" t="s">
        <v>33</v>
      </c>
      <c r="I3" s="17" t="s">
        <v>34</v>
      </c>
      <c r="J3" s="17" t="s">
        <v>35</v>
      </c>
      <c r="K3" s="17"/>
      <c r="L3" s="17"/>
    </row>
    <row r="4" spans="1:12" ht="15" customHeight="1" x14ac:dyDescent="0.3">
      <c r="A4" s="19" t="s">
        <v>36</v>
      </c>
      <c r="B4" s="19" t="s">
        <v>37</v>
      </c>
      <c r="C4" s="19" t="s">
        <v>38</v>
      </c>
      <c r="D4" s="19" t="s">
        <v>39</v>
      </c>
      <c r="E4" s="20" t="s">
        <v>40</v>
      </c>
      <c r="F4" s="20" t="s">
        <v>41</v>
      </c>
      <c r="G4" s="19" t="s">
        <v>32</v>
      </c>
      <c r="H4" s="19" t="s">
        <v>42</v>
      </c>
      <c r="I4" s="19" t="s">
        <v>43</v>
      </c>
      <c r="J4" s="19" t="s">
        <v>44</v>
      </c>
      <c r="K4" s="19" t="s">
        <v>45</v>
      </c>
      <c r="L4" s="19"/>
    </row>
    <row r="5" spans="1:12" ht="15" customHeight="1" x14ac:dyDescent="0.3">
      <c r="A5" s="17" t="s">
        <v>46</v>
      </c>
      <c r="B5" s="17" t="s">
        <v>47</v>
      </c>
      <c r="C5" s="17" t="s">
        <v>48</v>
      </c>
      <c r="D5" s="17" t="s">
        <v>49</v>
      </c>
      <c r="E5" s="18" t="s">
        <v>50</v>
      </c>
      <c r="F5" s="18" t="s">
        <v>51</v>
      </c>
      <c r="G5" s="17" t="s">
        <v>52</v>
      </c>
      <c r="H5" s="17" t="s">
        <v>33</v>
      </c>
      <c r="I5" s="17" t="s">
        <v>53</v>
      </c>
      <c r="J5" s="17" t="s">
        <v>54</v>
      </c>
      <c r="K5" s="17"/>
      <c r="L5" s="17"/>
    </row>
    <row r="6" spans="1:12" ht="15" customHeight="1" x14ac:dyDescent="0.3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</row>
    <row r="7" spans="1:12" ht="15" customHeight="1" x14ac:dyDescent="0.3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2" ht="15" customHeight="1" x14ac:dyDescent="0.3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12" ht="15" customHeight="1" x14ac:dyDescent="0.3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</row>
    <row r="10" spans="1:12" ht="15" customHeight="1" x14ac:dyDescent="0.3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</row>
    <row r="11" spans="1:12" ht="15" customHeight="1" x14ac:dyDescent="0.3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</row>
    <row r="12" spans="1:12" ht="15" customHeight="1" x14ac:dyDescent="0.3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</row>
    <row r="13" spans="1:12" ht="15" customHeight="1" x14ac:dyDescent="0.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</row>
    <row r="14" spans="1:12" ht="15" customHeight="1" x14ac:dyDescent="0.3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</row>
    <row r="15" spans="1:12" ht="15" customHeight="1" x14ac:dyDescent="0.3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</row>
    <row r="16" spans="1:12" ht="15" customHeight="1" x14ac:dyDescent="0.3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</row>
    <row r="17" spans="1:12" ht="15" customHeight="1" x14ac:dyDescent="0.3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</row>
    <row r="18" spans="1:12" ht="15" customHeight="1" x14ac:dyDescent="0.3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</row>
    <row r="19" spans="1:12" ht="15" customHeight="1" x14ac:dyDescent="0.3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</row>
    <row r="20" spans="1:12" ht="15" customHeight="1" x14ac:dyDescent="0.3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</row>
    <row r="21" spans="1:12" ht="15" customHeight="1" x14ac:dyDescent="0.3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</row>
    <row r="22" spans="1:12" ht="15" customHeight="1" x14ac:dyDescent="0.3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1:12" ht="15" customHeight="1" x14ac:dyDescent="0.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spans="1:12" ht="15" customHeight="1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1:12" ht="15" customHeight="1" x14ac:dyDescent="0.3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</row>
    <row r="26" spans="1:12" ht="15" customHeight="1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</row>
    <row r="27" spans="1:12" ht="15" customHeight="1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</row>
    <row r="28" spans="1:12" ht="15" customHeight="1" x14ac:dyDescent="0.3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</row>
    <row r="29" spans="1:12" ht="15" customHeight="1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</row>
    <row r="30" spans="1:12" ht="15" customHeight="1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</row>
    <row r="31" spans="1:12" ht="15" customHeight="1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</row>
    <row r="32" spans="1:12" ht="15" customHeight="1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</row>
    <row r="33" spans="1:12" ht="15" customHeight="1" x14ac:dyDescent="0.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</row>
    <row r="34" spans="1:12" ht="15" customHeight="1" x14ac:dyDescent="0.3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</row>
    <row r="35" spans="1:12" ht="15" customHeight="1" x14ac:dyDescent="0.3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</row>
    <row r="36" spans="1:12" ht="15" customHeight="1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</row>
    <row r="37" spans="1:12" ht="15" customHeight="1" x14ac:dyDescent="0.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</row>
    <row r="38" spans="1:12" ht="15" customHeight="1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</row>
    <row r="39" spans="1:12" ht="15" customHeight="1" x14ac:dyDescent="0.3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</row>
    <row r="40" spans="1:12" ht="15" customHeight="1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</row>
    <row r="41" spans="1:12" ht="15" customHeight="1" x14ac:dyDescent="0.3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</row>
    <row r="42" spans="1:12" ht="15" customHeight="1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</row>
    <row r="43" spans="1:12" ht="15" customHeight="1" x14ac:dyDescent="0.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</row>
    <row r="44" spans="1:12" ht="15" customHeight="1" x14ac:dyDescent="0.3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</row>
    <row r="45" spans="1:12" ht="15" customHeight="1" x14ac:dyDescent="0.3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</row>
    <row r="46" spans="1:12" ht="15" customHeight="1" x14ac:dyDescent="0.3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</row>
    <row r="47" spans="1:12" ht="15" customHeight="1" x14ac:dyDescent="0.3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</row>
    <row r="48" spans="1:12" ht="15" customHeight="1" x14ac:dyDescent="0.3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</row>
    <row r="49" spans="1:12" ht="15" customHeight="1" x14ac:dyDescent="0.3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</row>
    <row r="50" spans="1:12" ht="15" customHeight="1" x14ac:dyDescent="0.3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</row>
    <row r="51" spans="1:12" ht="15" customHeight="1" x14ac:dyDescent="0.3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3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30" customWidth="1"/>
    <col min="3" max="3" width="20" customWidth="1"/>
    <col min="4" max="4" width="24" customWidth="1"/>
    <col min="5" max="6" width="18" customWidth="1"/>
    <col min="7" max="7" width="16" customWidth="1"/>
    <col min="8" max="8" width="13" customWidth="1"/>
    <col min="9" max="10" width="14" customWidth="1"/>
    <col min="11" max="11" width="24" customWidth="1"/>
  </cols>
  <sheetData>
    <row r="1" spans="1:11" ht="31.5" customHeight="1" x14ac:dyDescent="0.3">
      <c r="A1" s="101" t="s">
        <v>55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</row>
    <row r="2" spans="1:11" ht="15" customHeight="1" x14ac:dyDescent="0.3">
      <c r="A2" s="102" t="s">
        <v>56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</row>
    <row r="3" spans="1:11" ht="21.75" customHeight="1" x14ac:dyDescent="0.3">
      <c r="A3" s="21" t="s">
        <v>16</v>
      </c>
      <c r="B3" s="21" t="s">
        <v>57</v>
      </c>
      <c r="C3" s="21" t="s">
        <v>58</v>
      </c>
      <c r="D3" s="21" t="s">
        <v>59</v>
      </c>
      <c r="E3" s="21" t="s">
        <v>60</v>
      </c>
      <c r="F3" s="21" t="s">
        <v>61</v>
      </c>
      <c r="G3" s="21" t="s">
        <v>12</v>
      </c>
      <c r="H3" s="21" t="s">
        <v>13</v>
      </c>
      <c r="I3" s="21" t="s">
        <v>9</v>
      </c>
      <c r="J3" s="21" t="s">
        <v>62</v>
      </c>
      <c r="K3" s="21" t="s">
        <v>63</v>
      </c>
    </row>
    <row r="4" spans="1:11" ht="15" customHeight="1" x14ac:dyDescent="0.3">
      <c r="A4" s="19" t="s">
        <v>26</v>
      </c>
      <c r="B4" s="19" t="s">
        <v>64</v>
      </c>
      <c r="C4" s="19" t="s">
        <v>65</v>
      </c>
      <c r="D4" s="19" t="s">
        <v>66</v>
      </c>
      <c r="E4" s="22">
        <v>45000</v>
      </c>
      <c r="F4" s="19">
        <v>38000</v>
      </c>
      <c r="G4" s="23">
        <f t="shared" ref="G4:G10" si="0">F4-E4</f>
        <v>-7000</v>
      </c>
      <c r="H4" s="24">
        <f t="shared" ref="H4:H10" si="1">IFERROR(F4/E4,0)</f>
        <v>0.84444444444444444</v>
      </c>
      <c r="I4" s="19" t="s">
        <v>67</v>
      </c>
      <c r="J4" s="20" t="s">
        <v>68</v>
      </c>
      <c r="K4" s="19"/>
    </row>
    <row r="5" spans="1:11" ht="15" customHeight="1" x14ac:dyDescent="0.3">
      <c r="A5" s="17" t="s">
        <v>26</v>
      </c>
      <c r="B5" s="17" t="s">
        <v>69</v>
      </c>
      <c r="C5" s="17" t="s">
        <v>70</v>
      </c>
      <c r="D5" s="17" t="s">
        <v>66</v>
      </c>
      <c r="E5" s="25">
        <v>62000</v>
      </c>
      <c r="F5" s="17">
        <v>55000</v>
      </c>
      <c r="G5" s="26">
        <f t="shared" si="0"/>
        <v>-7000</v>
      </c>
      <c r="H5" s="27">
        <f t="shared" si="1"/>
        <v>0.88709677419354838</v>
      </c>
      <c r="I5" s="17" t="s">
        <v>32</v>
      </c>
      <c r="J5" s="18" t="s">
        <v>68</v>
      </c>
      <c r="K5" s="17"/>
    </row>
    <row r="6" spans="1:11" ht="15" customHeight="1" x14ac:dyDescent="0.3">
      <c r="A6" s="19" t="s">
        <v>26</v>
      </c>
      <c r="B6" s="19" t="s">
        <v>71</v>
      </c>
      <c r="C6" s="19" t="s">
        <v>72</v>
      </c>
      <c r="D6" s="19" t="s">
        <v>73</v>
      </c>
      <c r="E6" s="22">
        <v>18500</v>
      </c>
      <c r="F6" s="19">
        <v>5000</v>
      </c>
      <c r="G6" s="23">
        <f t="shared" si="0"/>
        <v>-13500</v>
      </c>
      <c r="H6" s="24">
        <f t="shared" si="1"/>
        <v>0.27027027027027029</v>
      </c>
      <c r="I6" s="19" t="s">
        <v>32</v>
      </c>
      <c r="J6" s="20" t="s">
        <v>74</v>
      </c>
      <c r="K6" s="19" t="s">
        <v>75</v>
      </c>
    </row>
    <row r="7" spans="1:11" ht="15" customHeight="1" x14ac:dyDescent="0.3">
      <c r="A7" s="17" t="s">
        <v>26</v>
      </c>
      <c r="B7" s="17" t="s">
        <v>76</v>
      </c>
      <c r="C7" s="17" t="s">
        <v>77</v>
      </c>
      <c r="D7" s="17" t="s">
        <v>78</v>
      </c>
      <c r="E7" s="25">
        <v>12300</v>
      </c>
      <c r="F7" s="17">
        <v>0</v>
      </c>
      <c r="G7" s="26">
        <f t="shared" si="0"/>
        <v>-12300</v>
      </c>
      <c r="H7" s="27">
        <f t="shared" si="1"/>
        <v>0</v>
      </c>
      <c r="I7" s="17" t="s">
        <v>79</v>
      </c>
      <c r="J7" s="18" t="s">
        <v>74</v>
      </c>
      <c r="K7" s="17" t="s">
        <v>80</v>
      </c>
    </row>
    <row r="8" spans="1:11" ht="15" customHeight="1" x14ac:dyDescent="0.3">
      <c r="A8" s="19" t="s">
        <v>36</v>
      </c>
      <c r="B8" s="19" t="s">
        <v>81</v>
      </c>
      <c r="C8" s="19" t="s">
        <v>82</v>
      </c>
      <c r="D8" s="19" t="s">
        <v>83</v>
      </c>
      <c r="E8" s="22">
        <v>8200</v>
      </c>
      <c r="F8" s="19">
        <v>8200</v>
      </c>
      <c r="G8" s="23">
        <f t="shared" si="0"/>
        <v>0</v>
      </c>
      <c r="H8" s="24">
        <f t="shared" si="1"/>
        <v>1</v>
      </c>
      <c r="I8" s="19" t="s">
        <v>84</v>
      </c>
      <c r="J8" s="20" t="s">
        <v>85</v>
      </c>
      <c r="K8" s="19"/>
    </row>
    <row r="9" spans="1:11" ht="15" customHeight="1" x14ac:dyDescent="0.3">
      <c r="A9" s="17" t="s">
        <v>36</v>
      </c>
      <c r="B9" s="17" t="s">
        <v>86</v>
      </c>
      <c r="C9" s="17" t="s">
        <v>87</v>
      </c>
      <c r="D9" s="17" t="s">
        <v>88</v>
      </c>
      <c r="E9" s="25">
        <v>22000</v>
      </c>
      <c r="F9" s="17">
        <v>10000</v>
      </c>
      <c r="G9" s="26">
        <f t="shared" si="0"/>
        <v>-12000</v>
      </c>
      <c r="H9" s="27">
        <f t="shared" si="1"/>
        <v>0.45454545454545453</v>
      </c>
      <c r="I9" s="17" t="s">
        <v>32</v>
      </c>
      <c r="J9" s="18" t="s">
        <v>89</v>
      </c>
      <c r="K9" s="17"/>
    </row>
    <row r="10" spans="1:11" ht="15" customHeight="1" x14ac:dyDescent="0.3">
      <c r="A10" s="19" t="s">
        <v>46</v>
      </c>
      <c r="B10" s="19" t="s">
        <v>90</v>
      </c>
      <c r="C10" s="19" t="s">
        <v>91</v>
      </c>
      <c r="D10" s="19" t="s">
        <v>92</v>
      </c>
      <c r="E10" s="22">
        <v>15000</v>
      </c>
      <c r="F10" s="19">
        <v>7500</v>
      </c>
      <c r="G10" s="23">
        <f t="shared" si="0"/>
        <v>-7500</v>
      </c>
      <c r="H10" s="24">
        <f t="shared" si="1"/>
        <v>0.5</v>
      </c>
      <c r="I10" s="19" t="s">
        <v>32</v>
      </c>
      <c r="J10" s="20" t="s">
        <v>93</v>
      </c>
      <c r="K10" s="19"/>
    </row>
    <row r="11" spans="1:11" ht="15" customHeight="1" x14ac:dyDescent="0.3">
      <c r="A11" s="17"/>
      <c r="B11" s="17"/>
      <c r="C11" s="17"/>
      <c r="D11" s="17"/>
      <c r="E11" s="17"/>
      <c r="F11" s="17"/>
      <c r="G11" s="28">
        <f t="shared" ref="G11:G42" si="2">IFERROR(F11-E11,"")</f>
        <v>0</v>
      </c>
      <c r="H11" s="29" t="str">
        <f t="shared" ref="H11:H42" si="3">IFERROR(F11/E11,"")</f>
        <v/>
      </c>
      <c r="I11" s="17"/>
      <c r="J11" s="17"/>
      <c r="K11" s="17"/>
    </row>
    <row r="12" spans="1:11" ht="15" customHeight="1" x14ac:dyDescent="0.3">
      <c r="A12" s="19"/>
      <c r="B12" s="19"/>
      <c r="C12" s="19"/>
      <c r="D12" s="19"/>
      <c r="E12" s="19"/>
      <c r="F12" s="19"/>
      <c r="G12" s="30">
        <f t="shared" si="2"/>
        <v>0</v>
      </c>
      <c r="H12" s="31" t="str">
        <f t="shared" si="3"/>
        <v/>
      </c>
      <c r="I12" s="19"/>
      <c r="J12" s="19"/>
      <c r="K12" s="19"/>
    </row>
    <row r="13" spans="1:11" ht="15" customHeight="1" x14ac:dyDescent="0.3">
      <c r="A13" s="17"/>
      <c r="B13" s="17"/>
      <c r="C13" s="17"/>
      <c r="D13" s="17"/>
      <c r="E13" s="17"/>
      <c r="F13" s="17"/>
      <c r="G13" s="28">
        <f t="shared" si="2"/>
        <v>0</v>
      </c>
      <c r="H13" s="29" t="str">
        <f t="shared" si="3"/>
        <v/>
      </c>
      <c r="I13" s="17"/>
      <c r="J13" s="17"/>
      <c r="K13" s="17"/>
    </row>
    <row r="14" spans="1:11" ht="15" customHeight="1" x14ac:dyDescent="0.3">
      <c r="A14" s="19"/>
      <c r="B14" s="19"/>
      <c r="C14" s="19"/>
      <c r="D14" s="19"/>
      <c r="E14" s="19"/>
      <c r="F14" s="19"/>
      <c r="G14" s="30">
        <f t="shared" si="2"/>
        <v>0</v>
      </c>
      <c r="H14" s="31" t="str">
        <f t="shared" si="3"/>
        <v/>
      </c>
      <c r="I14" s="19"/>
      <c r="J14" s="19"/>
      <c r="K14" s="19"/>
    </row>
    <row r="15" spans="1:11" ht="15" customHeight="1" x14ac:dyDescent="0.3">
      <c r="A15" s="17"/>
      <c r="B15" s="17"/>
      <c r="C15" s="17"/>
      <c r="D15" s="17"/>
      <c r="E15" s="17"/>
      <c r="F15" s="17"/>
      <c r="G15" s="28">
        <f t="shared" si="2"/>
        <v>0</v>
      </c>
      <c r="H15" s="29" t="str">
        <f t="shared" si="3"/>
        <v/>
      </c>
      <c r="I15" s="17"/>
      <c r="J15" s="17"/>
      <c r="K15" s="17"/>
    </row>
    <row r="16" spans="1:11" ht="15" customHeight="1" x14ac:dyDescent="0.3">
      <c r="A16" s="19"/>
      <c r="B16" s="19"/>
      <c r="C16" s="19"/>
      <c r="D16" s="19"/>
      <c r="E16" s="19"/>
      <c r="F16" s="19"/>
      <c r="G16" s="30">
        <f t="shared" si="2"/>
        <v>0</v>
      </c>
      <c r="H16" s="31" t="str">
        <f t="shared" si="3"/>
        <v/>
      </c>
      <c r="I16" s="19"/>
      <c r="J16" s="19"/>
      <c r="K16" s="19"/>
    </row>
    <row r="17" spans="1:11" ht="15" customHeight="1" x14ac:dyDescent="0.3">
      <c r="A17" s="17"/>
      <c r="B17" s="17"/>
      <c r="C17" s="17"/>
      <c r="D17" s="17"/>
      <c r="E17" s="17"/>
      <c r="F17" s="17"/>
      <c r="G17" s="28">
        <f t="shared" si="2"/>
        <v>0</v>
      </c>
      <c r="H17" s="29" t="str">
        <f t="shared" si="3"/>
        <v/>
      </c>
      <c r="I17" s="17"/>
      <c r="J17" s="17"/>
      <c r="K17" s="17"/>
    </row>
    <row r="18" spans="1:11" ht="15" customHeight="1" x14ac:dyDescent="0.3">
      <c r="A18" s="19"/>
      <c r="B18" s="19"/>
      <c r="C18" s="19"/>
      <c r="D18" s="19"/>
      <c r="E18" s="19"/>
      <c r="F18" s="19"/>
      <c r="G18" s="30">
        <f t="shared" si="2"/>
        <v>0</v>
      </c>
      <c r="H18" s="31" t="str">
        <f t="shared" si="3"/>
        <v/>
      </c>
      <c r="I18" s="19"/>
      <c r="J18" s="19"/>
      <c r="K18" s="19"/>
    </row>
    <row r="19" spans="1:11" ht="15" customHeight="1" x14ac:dyDescent="0.3">
      <c r="A19" s="17"/>
      <c r="B19" s="17"/>
      <c r="C19" s="17"/>
      <c r="D19" s="17"/>
      <c r="E19" s="17"/>
      <c r="F19" s="17"/>
      <c r="G19" s="28">
        <f t="shared" si="2"/>
        <v>0</v>
      </c>
      <c r="H19" s="29" t="str">
        <f t="shared" si="3"/>
        <v/>
      </c>
      <c r="I19" s="17"/>
      <c r="J19" s="17"/>
      <c r="K19" s="17"/>
    </row>
    <row r="20" spans="1:11" ht="15" customHeight="1" x14ac:dyDescent="0.3">
      <c r="A20" s="19"/>
      <c r="B20" s="19"/>
      <c r="C20" s="19"/>
      <c r="D20" s="19"/>
      <c r="E20" s="19"/>
      <c r="F20" s="19"/>
      <c r="G20" s="30">
        <f t="shared" si="2"/>
        <v>0</v>
      </c>
      <c r="H20" s="31" t="str">
        <f t="shared" si="3"/>
        <v/>
      </c>
      <c r="I20" s="19"/>
      <c r="J20" s="19"/>
      <c r="K20" s="19"/>
    </row>
    <row r="21" spans="1:11" ht="15" customHeight="1" x14ac:dyDescent="0.3">
      <c r="A21" s="17"/>
      <c r="B21" s="17"/>
      <c r="C21" s="17"/>
      <c r="D21" s="17"/>
      <c r="E21" s="17"/>
      <c r="F21" s="17"/>
      <c r="G21" s="28">
        <f t="shared" si="2"/>
        <v>0</v>
      </c>
      <c r="H21" s="29" t="str">
        <f t="shared" si="3"/>
        <v/>
      </c>
      <c r="I21" s="17"/>
      <c r="J21" s="17"/>
      <c r="K21" s="17"/>
    </row>
    <row r="22" spans="1:11" ht="15" customHeight="1" x14ac:dyDescent="0.3">
      <c r="A22" s="19"/>
      <c r="B22" s="19"/>
      <c r="C22" s="19"/>
      <c r="D22" s="19"/>
      <c r="E22" s="19"/>
      <c r="F22" s="19"/>
      <c r="G22" s="30">
        <f t="shared" si="2"/>
        <v>0</v>
      </c>
      <c r="H22" s="31" t="str">
        <f t="shared" si="3"/>
        <v/>
      </c>
      <c r="I22" s="19"/>
      <c r="J22" s="19"/>
      <c r="K22" s="19"/>
    </row>
    <row r="23" spans="1:11" ht="15" customHeight="1" x14ac:dyDescent="0.3">
      <c r="A23" s="17"/>
      <c r="B23" s="17"/>
      <c r="C23" s="17"/>
      <c r="D23" s="17"/>
      <c r="E23" s="17"/>
      <c r="F23" s="17"/>
      <c r="G23" s="28">
        <f t="shared" si="2"/>
        <v>0</v>
      </c>
      <c r="H23" s="29" t="str">
        <f t="shared" si="3"/>
        <v/>
      </c>
      <c r="I23" s="17"/>
      <c r="J23" s="17"/>
      <c r="K23" s="17"/>
    </row>
    <row r="24" spans="1:11" ht="15" customHeight="1" x14ac:dyDescent="0.3">
      <c r="A24" s="19"/>
      <c r="B24" s="19"/>
      <c r="C24" s="19"/>
      <c r="D24" s="19"/>
      <c r="E24" s="19"/>
      <c r="F24" s="19"/>
      <c r="G24" s="30">
        <f t="shared" si="2"/>
        <v>0</v>
      </c>
      <c r="H24" s="31" t="str">
        <f t="shared" si="3"/>
        <v/>
      </c>
      <c r="I24" s="19"/>
      <c r="J24" s="19"/>
      <c r="K24" s="19"/>
    </row>
    <row r="25" spans="1:11" ht="15" customHeight="1" x14ac:dyDescent="0.3">
      <c r="A25" s="17"/>
      <c r="B25" s="17"/>
      <c r="C25" s="17"/>
      <c r="D25" s="17"/>
      <c r="E25" s="17"/>
      <c r="F25" s="17"/>
      <c r="G25" s="28">
        <f t="shared" si="2"/>
        <v>0</v>
      </c>
      <c r="H25" s="29" t="str">
        <f t="shared" si="3"/>
        <v/>
      </c>
      <c r="I25" s="17"/>
      <c r="J25" s="17"/>
      <c r="K25" s="17"/>
    </row>
    <row r="26" spans="1:11" ht="15" customHeight="1" x14ac:dyDescent="0.3">
      <c r="A26" s="19"/>
      <c r="B26" s="19"/>
      <c r="C26" s="19"/>
      <c r="D26" s="19"/>
      <c r="E26" s="19"/>
      <c r="F26" s="19"/>
      <c r="G26" s="30">
        <f t="shared" si="2"/>
        <v>0</v>
      </c>
      <c r="H26" s="31" t="str">
        <f t="shared" si="3"/>
        <v/>
      </c>
      <c r="I26" s="19"/>
      <c r="J26" s="19"/>
      <c r="K26" s="19"/>
    </row>
    <row r="27" spans="1:11" ht="15" customHeight="1" x14ac:dyDescent="0.3">
      <c r="A27" s="17"/>
      <c r="B27" s="17"/>
      <c r="C27" s="17"/>
      <c r="D27" s="17"/>
      <c r="E27" s="17"/>
      <c r="F27" s="17"/>
      <c r="G27" s="28">
        <f t="shared" si="2"/>
        <v>0</v>
      </c>
      <c r="H27" s="29" t="str">
        <f t="shared" si="3"/>
        <v/>
      </c>
      <c r="I27" s="17"/>
      <c r="J27" s="17"/>
      <c r="K27" s="17"/>
    </row>
    <row r="28" spans="1:11" ht="15" customHeight="1" x14ac:dyDescent="0.3">
      <c r="A28" s="19"/>
      <c r="B28" s="19"/>
      <c r="C28" s="19"/>
      <c r="D28" s="19"/>
      <c r="E28" s="19"/>
      <c r="F28" s="19"/>
      <c r="G28" s="30">
        <f t="shared" si="2"/>
        <v>0</v>
      </c>
      <c r="H28" s="31" t="str">
        <f t="shared" si="3"/>
        <v/>
      </c>
      <c r="I28" s="19"/>
      <c r="J28" s="19"/>
      <c r="K28" s="19"/>
    </row>
    <row r="29" spans="1:11" ht="15" customHeight="1" x14ac:dyDescent="0.3">
      <c r="A29" s="17"/>
      <c r="B29" s="17"/>
      <c r="C29" s="17"/>
      <c r="D29" s="17"/>
      <c r="E29" s="17"/>
      <c r="F29" s="17"/>
      <c r="G29" s="28">
        <f t="shared" si="2"/>
        <v>0</v>
      </c>
      <c r="H29" s="29" t="str">
        <f t="shared" si="3"/>
        <v/>
      </c>
      <c r="I29" s="17"/>
      <c r="J29" s="17"/>
      <c r="K29" s="17"/>
    </row>
    <row r="30" spans="1:11" ht="15" customHeight="1" x14ac:dyDescent="0.3">
      <c r="A30" s="19"/>
      <c r="B30" s="19"/>
      <c r="C30" s="19"/>
      <c r="D30" s="19"/>
      <c r="E30" s="19"/>
      <c r="F30" s="19"/>
      <c r="G30" s="30">
        <f t="shared" si="2"/>
        <v>0</v>
      </c>
      <c r="H30" s="31" t="str">
        <f t="shared" si="3"/>
        <v/>
      </c>
      <c r="I30" s="19"/>
      <c r="J30" s="19"/>
      <c r="K30" s="19"/>
    </row>
    <row r="31" spans="1:11" ht="15" customHeight="1" x14ac:dyDescent="0.3">
      <c r="A31" s="17"/>
      <c r="B31" s="17"/>
      <c r="C31" s="17"/>
      <c r="D31" s="17"/>
      <c r="E31" s="17"/>
      <c r="F31" s="17"/>
      <c r="G31" s="28">
        <f t="shared" si="2"/>
        <v>0</v>
      </c>
      <c r="H31" s="29" t="str">
        <f t="shared" si="3"/>
        <v/>
      </c>
      <c r="I31" s="17"/>
      <c r="J31" s="17"/>
      <c r="K31" s="17"/>
    </row>
    <row r="32" spans="1:11" ht="15" customHeight="1" x14ac:dyDescent="0.3">
      <c r="A32" s="19"/>
      <c r="B32" s="19"/>
      <c r="C32" s="19"/>
      <c r="D32" s="19"/>
      <c r="E32" s="19"/>
      <c r="F32" s="19"/>
      <c r="G32" s="30">
        <f t="shared" si="2"/>
        <v>0</v>
      </c>
      <c r="H32" s="31" t="str">
        <f t="shared" si="3"/>
        <v/>
      </c>
      <c r="I32" s="19"/>
      <c r="J32" s="19"/>
      <c r="K32" s="19"/>
    </row>
    <row r="33" spans="1:11" ht="15" customHeight="1" x14ac:dyDescent="0.3">
      <c r="A33" s="17"/>
      <c r="B33" s="17"/>
      <c r="C33" s="17"/>
      <c r="D33" s="17"/>
      <c r="E33" s="17"/>
      <c r="F33" s="17"/>
      <c r="G33" s="28">
        <f t="shared" si="2"/>
        <v>0</v>
      </c>
      <c r="H33" s="29" t="str">
        <f t="shared" si="3"/>
        <v/>
      </c>
      <c r="I33" s="17"/>
      <c r="J33" s="17"/>
      <c r="K33" s="17"/>
    </row>
    <row r="34" spans="1:11" ht="15" customHeight="1" x14ac:dyDescent="0.3">
      <c r="A34" s="19"/>
      <c r="B34" s="19"/>
      <c r="C34" s="19"/>
      <c r="D34" s="19"/>
      <c r="E34" s="19"/>
      <c r="F34" s="19"/>
      <c r="G34" s="30">
        <f t="shared" si="2"/>
        <v>0</v>
      </c>
      <c r="H34" s="31" t="str">
        <f t="shared" si="3"/>
        <v/>
      </c>
      <c r="I34" s="19"/>
      <c r="J34" s="19"/>
      <c r="K34" s="19"/>
    </row>
    <row r="35" spans="1:11" ht="15" customHeight="1" x14ac:dyDescent="0.3">
      <c r="A35" s="17"/>
      <c r="B35" s="17"/>
      <c r="C35" s="17"/>
      <c r="D35" s="17"/>
      <c r="E35" s="17"/>
      <c r="F35" s="17"/>
      <c r="G35" s="28">
        <f t="shared" si="2"/>
        <v>0</v>
      </c>
      <c r="H35" s="29" t="str">
        <f t="shared" si="3"/>
        <v/>
      </c>
      <c r="I35" s="17"/>
      <c r="J35" s="17"/>
      <c r="K35" s="17"/>
    </row>
    <row r="36" spans="1:11" ht="15" customHeight="1" x14ac:dyDescent="0.3">
      <c r="A36" s="19"/>
      <c r="B36" s="19"/>
      <c r="C36" s="19"/>
      <c r="D36" s="19"/>
      <c r="E36" s="19"/>
      <c r="F36" s="19"/>
      <c r="G36" s="30">
        <f t="shared" si="2"/>
        <v>0</v>
      </c>
      <c r="H36" s="31" t="str">
        <f t="shared" si="3"/>
        <v/>
      </c>
      <c r="I36" s="19"/>
      <c r="J36" s="19"/>
      <c r="K36" s="19"/>
    </row>
    <row r="37" spans="1:11" ht="15" customHeight="1" x14ac:dyDescent="0.3">
      <c r="A37" s="17"/>
      <c r="B37" s="17"/>
      <c r="C37" s="17"/>
      <c r="D37" s="17"/>
      <c r="E37" s="17"/>
      <c r="F37" s="17"/>
      <c r="G37" s="28">
        <f t="shared" si="2"/>
        <v>0</v>
      </c>
      <c r="H37" s="29" t="str">
        <f t="shared" si="3"/>
        <v/>
      </c>
      <c r="I37" s="17"/>
      <c r="J37" s="17"/>
      <c r="K37" s="17"/>
    </row>
    <row r="38" spans="1:11" ht="15" customHeight="1" x14ac:dyDescent="0.3">
      <c r="A38" s="19"/>
      <c r="B38" s="19"/>
      <c r="C38" s="19"/>
      <c r="D38" s="19"/>
      <c r="E38" s="19"/>
      <c r="F38" s="19"/>
      <c r="G38" s="30">
        <f t="shared" si="2"/>
        <v>0</v>
      </c>
      <c r="H38" s="31" t="str">
        <f t="shared" si="3"/>
        <v/>
      </c>
      <c r="I38" s="19"/>
      <c r="J38" s="19"/>
      <c r="K38" s="19"/>
    </row>
    <row r="39" spans="1:11" ht="15" customHeight="1" x14ac:dyDescent="0.3">
      <c r="A39" s="17"/>
      <c r="B39" s="17"/>
      <c r="C39" s="17"/>
      <c r="D39" s="17"/>
      <c r="E39" s="17"/>
      <c r="F39" s="17"/>
      <c r="G39" s="28">
        <f t="shared" si="2"/>
        <v>0</v>
      </c>
      <c r="H39" s="29" t="str">
        <f t="shared" si="3"/>
        <v/>
      </c>
      <c r="I39" s="17"/>
      <c r="J39" s="17"/>
      <c r="K39" s="17"/>
    </row>
    <row r="40" spans="1:11" ht="15" customHeight="1" x14ac:dyDescent="0.3">
      <c r="A40" s="19"/>
      <c r="B40" s="19"/>
      <c r="C40" s="19"/>
      <c r="D40" s="19"/>
      <c r="E40" s="19"/>
      <c r="F40" s="19"/>
      <c r="G40" s="30">
        <f t="shared" si="2"/>
        <v>0</v>
      </c>
      <c r="H40" s="31" t="str">
        <f t="shared" si="3"/>
        <v/>
      </c>
      <c r="I40" s="19"/>
      <c r="J40" s="19"/>
      <c r="K40" s="19"/>
    </row>
    <row r="41" spans="1:11" ht="15" customHeight="1" x14ac:dyDescent="0.3">
      <c r="A41" s="17"/>
      <c r="B41" s="17"/>
      <c r="C41" s="17"/>
      <c r="D41" s="17"/>
      <c r="E41" s="17"/>
      <c r="F41" s="17"/>
      <c r="G41" s="28">
        <f t="shared" si="2"/>
        <v>0</v>
      </c>
      <c r="H41" s="29" t="str">
        <f t="shared" si="3"/>
        <v/>
      </c>
      <c r="I41" s="17"/>
      <c r="J41" s="17"/>
      <c r="K41" s="17"/>
    </row>
    <row r="42" spans="1:11" ht="15" customHeight="1" x14ac:dyDescent="0.3">
      <c r="A42" s="19"/>
      <c r="B42" s="19"/>
      <c r="C42" s="19"/>
      <c r="D42" s="19"/>
      <c r="E42" s="19"/>
      <c r="F42" s="19"/>
      <c r="G42" s="30">
        <f t="shared" si="2"/>
        <v>0</v>
      </c>
      <c r="H42" s="31" t="str">
        <f t="shared" si="3"/>
        <v/>
      </c>
      <c r="I42" s="19"/>
      <c r="J42" s="19"/>
      <c r="K42" s="19"/>
    </row>
    <row r="43" spans="1:11" ht="15" customHeight="1" x14ac:dyDescent="0.3">
      <c r="A43" s="17"/>
      <c r="B43" s="17"/>
      <c r="C43" s="17"/>
      <c r="D43" s="17"/>
      <c r="E43" s="17"/>
      <c r="F43" s="17"/>
      <c r="G43" s="28">
        <f t="shared" ref="G43:G74" si="4">IFERROR(F43-E43,"")</f>
        <v>0</v>
      </c>
      <c r="H43" s="29" t="str">
        <f t="shared" ref="H43:H74" si="5">IFERROR(F43/E43,"")</f>
        <v/>
      </c>
      <c r="I43" s="17"/>
      <c r="J43" s="17"/>
      <c r="K43" s="17"/>
    </row>
    <row r="44" spans="1:11" ht="15" customHeight="1" x14ac:dyDescent="0.3">
      <c r="A44" s="19"/>
      <c r="B44" s="19"/>
      <c r="C44" s="19"/>
      <c r="D44" s="19"/>
      <c r="E44" s="19"/>
      <c r="F44" s="19"/>
      <c r="G44" s="30">
        <f t="shared" si="4"/>
        <v>0</v>
      </c>
      <c r="H44" s="31" t="str">
        <f t="shared" si="5"/>
        <v/>
      </c>
      <c r="I44" s="19"/>
      <c r="J44" s="19"/>
      <c r="K44" s="19"/>
    </row>
    <row r="45" spans="1:11" ht="15" customHeight="1" x14ac:dyDescent="0.3">
      <c r="A45" s="17"/>
      <c r="B45" s="17"/>
      <c r="C45" s="17"/>
      <c r="D45" s="17"/>
      <c r="E45" s="17"/>
      <c r="F45" s="17"/>
      <c r="G45" s="28">
        <f t="shared" si="4"/>
        <v>0</v>
      </c>
      <c r="H45" s="29" t="str">
        <f t="shared" si="5"/>
        <v/>
      </c>
      <c r="I45" s="17"/>
      <c r="J45" s="17"/>
      <c r="K45" s="17"/>
    </row>
    <row r="46" spans="1:11" ht="15" customHeight="1" x14ac:dyDescent="0.3">
      <c r="A46" s="19"/>
      <c r="B46" s="19"/>
      <c r="C46" s="19"/>
      <c r="D46" s="19"/>
      <c r="E46" s="19"/>
      <c r="F46" s="19"/>
      <c r="G46" s="30">
        <f t="shared" si="4"/>
        <v>0</v>
      </c>
      <c r="H46" s="31" t="str">
        <f t="shared" si="5"/>
        <v/>
      </c>
      <c r="I46" s="19"/>
      <c r="J46" s="19"/>
      <c r="K46" s="19"/>
    </row>
    <row r="47" spans="1:11" ht="15" customHeight="1" x14ac:dyDescent="0.3">
      <c r="A47" s="17"/>
      <c r="B47" s="17"/>
      <c r="C47" s="17"/>
      <c r="D47" s="17"/>
      <c r="E47" s="17"/>
      <c r="F47" s="17"/>
      <c r="G47" s="28">
        <f t="shared" si="4"/>
        <v>0</v>
      </c>
      <c r="H47" s="29" t="str">
        <f t="shared" si="5"/>
        <v/>
      </c>
      <c r="I47" s="17"/>
      <c r="J47" s="17"/>
      <c r="K47" s="17"/>
    </row>
    <row r="48" spans="1:11" ht="15" customHeight="1" x14ac:dyDescent="0.3">
      <c r="A48" s="19"/>
      <c r="B48" s="19"/>
      <c r="C48" s="19"/>
      <c r="D48" s="19"/>
      <c r="E48" s="19"/>
      <c r="F48" s="19"/>
      <c r="G48" s="30">
        <f t="shared" si="4"/>
        <v>0</v>
      </c>
      <c r="H48" s="31" t="str">
        <f t="shared" si="5"/>
        <v/>
      </c>
      <c r="I48" s="19"/>
      <c r="J48" s="19"/>
      <c r="K48" s="19"/>
    </row>
    <row r="49" spans="1:11" ht="15" customHeight="1" x14ac:dyDescent="0.3">
      <c r="A49" s="17"/>
      <c r="B49" s="17"/>
      <c r="C49" s="17"/>
      <c r="D49" s="17"/>
      <c r="E49" s="17"/>
      <c r="F49" s="17"/>
      <c r="G49" s="28">
        <f t="shared" si="4"/>
        <v>0</v>
      </c>
      <c r="H49" s="29" t="str">
        <f t="shared" si="5"/>
        <v/>
      </c>
      <c r="I49" s="17"/>
      <c r="J49" s="17"/>
      <c r="K49" s="17"/>
    </row>
    <row r="50" spans="1:11" ht="15" customHeight="1" x14ac:dyDescent="0.3">
      <c r="A50" s="19"/>
      <c r="B50" s="19"/>
      <c r="C50" s="19"/>
      <c r="D50" s="19"/>
      <c r="E50" s="19"/>
      <c r="F50" s="19"/>
      <c r="G50" s="30">
        <f t="shared" si="4"/>
        <v>0</v>
      </c>
      <c r="H50" s="31" t="str">
        <f t="shared" si="5"/>
        <v/>
      </c>
      <c r="I50" s="19"/>
      <c r="J50" s="19"/>
      <c r="K50" s="19"/>
    </row>
    <row r="51" spans="1:11" ht="15" customHeight="1" x14ac:dyDescent="0.3">
      <c r="A51" s="17"/>
      <c r="B51" s="17"/>
      <c r="C51" s="17"/>
      <c r="D51" s="17"/>
      <c r="E51" s="17"/>
      <c r="F51" s="17"/>
      <c r="G51" s="28">
        <f t="shared" si="4"/>
        <v>0</v>
      </c>
      <c r="H51" s="29" t="str">
        <f t="shared" si="5"/>
        <v/>
      </c>
      <c r="I51" s="17"/>
      <c r="J51" s="17"/>
      <c r="K51" s="17"/>
    </row>
    <row r="52" spans="1:11" ht="15" customHeight="1" x14ac:dyDescent="0.3">
      <c r="A52" s="19"/>
      <c r="B52" s="19"/>
      <c r="C52" s="19"/>
      <c r="D52" s="19"/>
      <c r="E52" s="19"/>
      <c r="F52" s="19"/>
      <c r="G52" s="30">
        <f t="shared" si="4"/>
        <v>0</v>
      </c>
      <c r="H52" s="31" t="str">
        <f t="shared" si="5"/>
        <v/>
      </c>
      <c r="I52" s="19"/>
      <c r="J52" s="19"/>
      <c r="K52" s="19"/>
    </row>
    <row r="53" spans="1:11" ht="15" customHeight="1" x14ac:dyDescent="0.3">
      <c r="A53" s="17"/>
      <c r="B53" s="17"/>
      <c r="C53" s="17"/>
      <c r="D53" s="17"/>
      <c r="E53" s="17"/>
      <c r="F53" s="17"/>
      <c r="G53" s="28">
        <f t="shared" si="4"/>
        <v>0</v>
      </c>
      <c r="H53" s="29" t="str">
        <f t="shared" si="5"/>
        <v/>
      </c>
      <c r="I53" s="17"/>
      <c r="J53" s="17"/>
      <c r="K53" s="17"/>
    </row>
    <row r="54" spans="1:11" ht="15" customHeight="1" x14ac:dyDescent="0.3">
      <c r="A54" s="19"/>
      <c r="B54" s="19"/>
      <c r="C54" s="19"/>
      <c r="D54" s="19"/>
      <c r="E54" s="19"/>
      <c r="F54" s="19"/>
      <c r="G54" s="30">
        <f t="shared" si="4"/>
        <v>0</v>
      </c>
      <c r="H54" s="31" t="str">
        <f t="shared" si="5"/>
        <v/>
      </c>
      <c r="I54" s="19"/>
      <c r="J54" s="19"/>
      <c r="K54" s="19"/>
    </row>
    <row r="55" spans="1:11" ht="15" customHeight="1" x14ac:dyDescent="0.3">
      <c r="A55" s="17"/>
      <c r="B55" s="17"/>
      <c r="C55" s="17"/>
      <c r="D55" s="17"/>
      <c r="E55" s="17"/>
      <c r="F55" s="17"/>
      <c r="G55" s="28">
        <f t="shared" si="4"/>
        <v>0</v>
      </c>
      <c r="H55" s="29" t="str">
        <f t="shared" si="5"/>
        <v/>
      </c>
      <c r="I55" s="17"/>
      <c r="J55" s="17"/>
      <c r="K55" s="17"/>
    </row>
    <row r="56" spans="1:11" ht="15" customHeight="1" x14ac:dyDescent="0.3">
      <c r="A56" s="19"/>
      <c r="B56" s="19"/>
      <c r="C56" s="19"/>
      <c r="D56" s="19"/>
      <c r="E56" s="19"/>
      <c r="F56" s="19"/>
      <c r="G56" s="30">
        <f t="shared" si="4"/>
        <v>0</v>
      </c>
      <c r="H56" s="31" t="str">
        <f t="shared" si="5"/>
        <v/>
      </c>
      <c r="I56" s="19"/>
      <c r="J56" s="19"/>
      <c r="K56" s="19"/>
    </row>
    <row r="57" spans="1:11" ht="15" customHeight="1" x14ac:dyDescent="0.3">
      <c r="A57" s="17"/>
      <c r="B57" s="17"/>
      <c r="C57" s="17"/>
      <c r="D57" s="17"/>
      <c r="E57" s="17"/>
      <c r="F57" s="17"/>
      <c r="G57" s="28">
        <f t="shared" si="4"/>
        <v>0</v>
      </c>
      <c r="H57" s="29" t="str">
        <f t="shared" si="5"/>
        <v/>
      </c>
      <c r="I57" s="17"/>
      <c r="J57" s="17"/>
      <c r="K57" s="17"/>
    </row>
    <row r="58" spans="1:11" ht="15" customHeight="1" x14ac:dyDescent="0.3">
      <c r="A58" s="19"/>
      <c r="B58" s="19"/>
      <c r="C58" s="19"/>
      <c r="D58" s="19"/>
      <c r="E58" s="19"/>
      <c r="F58" s="19"/>
      <c r="G58" s="30">
        <f t="shared" si="4"/>
        <v>0</v>
      </c>
      <c r="H58" s="31" t="str">
        <f t="shared" si="5"/>
        <v/>
      </c>
      <c r="I58" s="19"/>
      <c r="J58" s="19"/>
      <c r="K58" s="19"/>
    </row>
    <row r="59" spans="1:11" ht="15" customHeight="1" x14ac:dyDescent="0.3">
      <c r="A59" s="17"/>
      <c r="B59" s="17"/>
      <c r="C59" s="17"/>
      <c r="D59" s="17"/>
      <c r="E59" s="17"/>
      <c r="F59" s="17"/>
      <c r="G59" s="28">
        <f t="shared" si="4"/>
        <v>0</v>
      </c>
      <c r="H59" s="29" t="str">
        <f t="shared" si="5"/>
        <v/>
      </c>
      <c r="I59" s="17"/>
      <c r="J59" s="17"/>
      <c r="K59" s="17"/>
    </row>
    <row r="60" spans="1:11" ht="15" customHeight="1" x14ac:dyDescent="0.3">
      <c r="A60" s="19"/>
      <c r="B60" s="19"/>
      <c r="C60" s="19"/>
      <c r="D60" s="19"/>
      <c r="E60" s="19"/>
      <c r="F60" s="19"/>
      <c r="G60" s="30">
        <f t="shared" si="4"/>
        <v>0</v>
      </c>
      <c r="H60" s="31" t="str">
        <f t="shared" si="5"/>
        <v/>
      </c>
      <c r="I60" s="19"/>
      <c r="J60" s="19"/>
      <c r="K60" s="19"/>
    </row>
    <row r="61" spans="1:11" ht="15" customHeight="1" x14ac:dyDescent="0.3">
      <c r="A61" s="17"/>
      <c r="B61" s="17"/>
      <c r="C61" s="17"/>
      <c r="D61" s="17"/>
      <c r="E61" s="17"/>
      <c r="F61" s="17"/>
      <c r="G61" s="28">
        <f t="shared" si="4"/>
        <v>0</v>
      </c>
      <c r="H61" s="29" t="str">
        <f t="shared" si="5"/>
        <v/>
      </c>
      <c r="I61" s="17"/>
      <c r="J61" s="17"/>
      <c r="K61" s="17"/>
    </row>
    <row r="62" spans="1:11" ht="15" customHeight="1" x14ac:dyDescent="0.3">
      <c r="A62" s="19"/>
      <c r="B62" s="19"/>
      <c r="C62" s="19"/>
      <c r="D62" s="19"/>
      <c r="E62" s="19"/>
      <c r="F62" s="19"/>
      <c r="G62" s="30">
        <f t="shared" si="4"/>
        <v>0</v>
      </c>
      <c r="H62" s="31" t="str">
        <f t="shared" si="5"/>
        <v/>
      </c>
      <c r="I62" s="19"/>
      <c r="J62" s="19"/>
      <c r="K62" s="19"/>
    </row>
    <row r="63" spans="1:11" ht="15" customHeight="1" x14ac:dyDescent="0.3">
      <c r="A63" s="17"/>
      <c r="B63" s="17"/>
      <c r="C63" s="17"/>
      <c r="D63" s="17"/>
      <c r="E63" s="17"/>
      <c r="F63" s="17"/>
      <c r="G63" s="28">
        <f t="shared" si="4"/>
        <v>0</v>
      </c>
      <c r="H63" s="29" t="str">
        <f t="shared" si="5"/>
        <v/>
      </c>
      <c r="I63" s="17"/>
      <c r="J63" s="17"/>
      <c r="K63" s="17"/>
    </row>
    <row r="64" spans="1:11" ht="15" customHeight="1" x14ac:dyDescent="0.3">
      <c r="A64" s="19"/>
      <c r="B64" s="19"/>
      <c r="C64" s="19"/>
      <c r="D64" s="19"/>
      <c r="E64" s="19"/>
      <c r="F64" s="19"/>
      <c r="G64" s="30">
        <f t="shared" si="4"/>
        <v>0</v>
      </c>
      <c r="H64" s="31" t="str">
        <f t="shared" si="5"/>
        <v/>
      </c>
      <c r="I64" s="19"/>
      <c r="J64" s="19"/>
      <c r="K64" s="19"/>
    </row>
    <row r="65" spans="1:11" ht="15" customHeight="1" x14ac:dyDescent="0.3">
      <c r="A65" s="17"/>
      <c r="B65" s="17"/>
      <c r="C65" s="17"/>
      <c r="D65" s="17"/>
      <c r="E65" s="17"/>
      <c r="F65" s="17"/>
      <c r="G65" s="28">
        <f t="shared" si="4"/>
        <v>0</v>
      </c>
      <c r="H65" s="29" t="str">
        <f t="shared" si="5"/>
        <v/>
      </c>
      <c r="I65" s="17"/>
      <c r="J65" s="17"/>
      <c r="K65" s="17"/>
    </row>
    <row r="66" spans="1:11" ht="15" customHeight="1" x14ac:dyDescent="0.3">
      <c r="A66" s="19"/>
      <c r="B66" s="19"/>
      <c r="C66" s="19"/>
      <c r="D66" s="19"/>
      <c r="E66" s="19"/>
      <c r="F66" s="19"/>
      <c r="G66" s="30">
        <f t="shared" si="4"/>
        <v>0</v>
      </c>
      <c r="H66" s="31" t="str">
        <f t="shared" si="5"/>
        <v/>
      </c>
      <c r="I66" s="19"/>
      <c r="J66" s="19"/>
      <c r="K66" s="19"/>
    </row>
    <row r="67" spans="1:11" ht="15" customHeight="1" x14ac:dyDescent="0.3">
      <c r="A67" s="17"/>
      <c r="B67" s="17"/>
      <c r="C67" s="17"/>
      <c r="D67" s="17"/>
      <c r="E67" s="17"/>
      <c r="F67" s="17"/>
      <c r="G67" s="28">
        <f t="shared" si="4"/>
        <v>0</v>
      </c>
      <c r="H67" s="29" t="str">
        <f t="shared" si="5"/>
        <v/>
      </c>
      <c r="I67" s="17"/>
      <c r="J67" s="17"/>
      <c r="K67" s="17"/>
    </row>
    <row r="68" spans="1:11" ht="15" customHeight="1" x14ac:dyDescent="0.3">
      <c r="A68" s="19"/>
      <c r="B68" s="19"/>
      <c r="C68" s="19"/>
      <c r="D68" s="19"/>
      <c r="E68" s="19"/>
      <c r="F68" s="19"/>
      <c r="G68" s="30">
        <f t="shared" si="4"/>
        <v>0</v>
      </c>
      <c r="H68" s="31" t="str">
        <f t="shared" si="5"/>
        <v/>
      </c>
      <c r="I68" s="19"/>
      <c r="J68" s="19"/>
      <c r="K68" s="19"/>
    </row>
    <row r="69" spans="1:11" ht="15" customHeight="1" x14ac:dyDescent="0.3">
      <c r="A69" s="17"/>
      <c r="B69" s="17"/>
      <c r="C69" s="17"/>
      <c r="D69" s="17"/>
      <c r="E69" s="17"/>
      <c r="F69" s="17"/>
      <c r="G69" s="28">
        <f t="shared" si="4"/>
        <v>0</v>
      </c>
      <c r="H69" s="29" t="str">
        <f t="shared" si="5"/>
        <v/>
      </c>
      <c r="I69" s="17"/>
      <c r="J69" s="17"/>
      <c r="K69" s="17"/>
    </row>
    <row r="70" spans="1:11" ht="15" customHeight="1" x14ac:dyDescent="0.3">
      <c r="A70" s="19"/>
      <c r="B70" s="19"/>
      <c r="C70" s="19"/>
      <c r="D70" s="19"/>
      <c r="E70" s="19"/>
      <c r="F70" s="19"/>
      <c r="G70" s="30">
        <f t="shared" si="4"/>
        <v>0</v>
      </c>
      <c r="H70" s="31" t="str">
        <f t="shared" si="5"/>
        <v/>
      </c>
      <c r="I70" s="19"/>
      <c r="J70" s="19"/>
      <c r="K70" s="19"/>
    </row>
    <row r="71" spans="1:11" ht="15" customHeight="1" x14ac:dyDescent="0.3">
      <c r="A71" s="17"/>
      <c r="B71" s="17"/>
      <c r="C71" s="17"/>
      <c r="D71" s="17"/>
      <c r="E71" s="17"/>
      <c r="F71" s="17"/>
      <c r="G71" s="28">
        <f t="shared" si="4"/>
        <v>0</v>
      </c>
      <c r="H71" s="29" t="str">
        <f t="shared" si="5"/>
        <v/>
      </c>
      <c r="I71" s="17"/>
      <c r="J71" s="17"/>
      <c r="K71" s="17"/>
    </row>
    <row r="72" spans="1:11" ht="15" customHeight="1" x14ac:dyDescent="0.3">
      <c r="A72" s="19"/>
      <c r="B72" s="19"/>
      <c r="C72" s="19"/>
      <c r="D72" s="19"/>
      <c r="E72" s="19"/>
      <c r="F72" s="19"/>
      <c r="G72" s="30">
        <f t="shared" si="4"/>
        <v>0</v>
      </c>
      <c r="H72" s="31" t="str">
        <f t="shared" si="5"/>
        <v/>
      </c>
      <c r="I72" s="19"/>
      <c r="J72" s="19"/>
      <c r="K72" s="19"/>
    </row>
    <row r="73" spans="1:11" ht="15" customHeight="1" x14ac:dyDescent="0.3">
      <c r="A73" s="17"/>
      <c r="B73" s="17"/>
      <c r="C73" s="17"/>
      <c r="D73" s="17"/>
      <c r="E73" s="17"/>
      <c r="F73" s="17"/>
      <c r="G73" s="28">
        <f t="shared" si="4"/>
        <v>0</v>
      </c>
      <c r="H73" s="29" t="str">
        <f t="shared" si="5"/>
        <v/>
      </c>
      <c r="I73" s="17"/>
      <c r="J73" s="17"/>
      <c r="K73" s="17"/>
    </row>
    <row r="74" spans="1:11" ht="15" customHeight="1" x14ac:dyDescent="0.3">
      <c r="A74" s="19"/>
      <c r="B74" s="19"/>
      <c r="C74" s="19"/>
      <c r="D74" s="19"/>
      <c r="E74" s="19"/>
      <c r="F74" s="19"/>
      <c r="G74" s="30">
        <f t="shared" si="4"/>
        <v>0</v>
      </c>
      <c r="H74" s="31" t="str">
        <f t="shared" si="5"/>
        <v/>
      </c>
      <c r="I74" s="19"/>
      <c r="J74" s="19"/>
      <c r="K74" s="19"/>
    </row>
    <row r="75" spans="1:11" ht="15" customHeight="1" x14ac:dyDescent="0.3">
      <c r="A75" s="17"/>
      <c r="B75" s="17"/>
      <c r="C75" s="17"/>
      <c r="D75" s="17"/>
      <c r="E75" s="17"/>
      <c r="F75" s="17"/>
      <c r="G75" s="28">
        <f t="shared" ref="G75:G106" si="6">IFERROR(F75-E75,"")</f>
        <v>0</v>
      </c>
      <c r="H75" s="29" t="str">
        <f t="shared" ref="H75:H101" si="7">IFERROR(F75/E75,"")</f>
        <v/>
      </c>
      <c r="I75" s="17"/>
      <c r="J75" s="17"/>
      <c r="K75" s="17"/>
    </row>
    <row r="76" spans="1:11" ht="15" customHeight="1" x14ac:dyDescent="0.3">
      <c r="A76" s="19"/>
      <c r="B76" s="19"/>
      <c r="C76" s="19"/>
      <c r="D76" s="19"/>
      <c r="E76" s="19"/>
      <c r="F76" s="19"/>
      <c r="G76" s="30">
        <f t="shared" si="6"/>
        <v>0</v>
      </c>
      <c r="H76" s="31" t="str">
        <f t="shared" si="7"/>
        <v/>
      </c>
      <c r="I76" s="19"/>
      <c r="J76" s="19"/>
      <c r="K76" s="19"/>
    </row>
    <row r="77" spans="1:11" ht="15" customHeight="1" x14ac:dyDescent="0.3">
      <c r="A77" s="17"/>
      <c r="B77" s="17"/>
      <c r="C77" s="17"/>
      <c r="D77" s="17"/>
      <c r="E77" s="17"/>
      <c r="F77" s="17"/>
      <c r="G77" s="28">
        <f t="shared" si="6"/>
        <v>0</v>
      </c>
      <c r="H77" s="29" t="str">
        <f t="shared" si="7"/>
        <v/>
      </c>
      <c r="I77" s="17"/>
      <c r="J77" s="17"/>
      <c r="K77" s="17"/>
    </row>
    <row r="78" spans="1:11" ht="15" customHeight="1" x14ac:dyDescent="0.3">
      <c r="A78" s="19"/>
      <c r="B78" s="19"/>
      <c r="C78" s="19"/>
      <c r="D78" s="19"/>
      <c r="E78" s="19"/>
      <c r="F78" s="19"/>
      <c r="G78" s="30">
        <f t="shared" si="6"/>
        <v>0</v>
      </c>
      <c r="H78" s="31" t="str">
        <f t="shared" si="7"/>
        <v/>
      </c>
      <c r="I78" s="19"/>
      <c r="J78" s="19"/>
      <c r="K78" s="19"/>
    </row>
    <row r="79" spans="1:11" ht="15" customHeight="1" x14ac:dyDescent="0.3">
      <c r="A79" s="17"/>
      <c r="B79" s="17"/>
      <c r="C79" s="17"/>
      <c r="D79" s="17"/>
      <c r="E79" s="17"/>
      <c r="F79" s="17"/>
      <c r="G79" s="28">
        <f t="shared" si="6"/>
        <v>0</v>
      </c>
      <c r="H79" s="29" t="str">
        <f t="shared" si="7"/>
        <v/>
      </c>
      <c r="I79" s="17"/>
      <c r="J79" s="17"/>
      <c r="K79" s="17"/>
    </row>
    <row r="80" spans="1:11" ht="15" customHeight="1" x14ac:dyDescent="0.3">
      <c r="A80" s="19"/>
      <c r="B80" s="19"/>
      <c r="C80" s="19"/>
      <c r="D80" s="19"/>
      <c r="E80" s="19"/>
      <c r="F80" s="19"/>
      <c r="G80" s="30">
        <f t="shared" si="6"/>
        <v>0</v>
      </c>
      <c r="H80" s="31" t="str">
        <f t="shared" si="7"/>
        <v/>
      </c>
      <c r="I80" s="19"/>
      <c r="J80" s="19"/>
      <c r="K80" s="19"/>
    </row>
    <row r="81" spans="1:11" ht="15" customHeight="1" x14ac:dyDescent="0.3">
      <c r="A81" s="17"/>
      <c r="B81" s="17"/>
      <c r="C81" s="17"/>
      <c r="D81" s="17"/>
      <c r="E81" s="17"/>
      <c r="F81" s="17"/>
      <c r="G81" s="28">
        <f t="shared" si="6"/>
        <v>0</v>
      </c>
      <c r="H81" s="29" t="str">
        <f t="shared" si="7"/>
        <v/>
      </c>
      <c r="I81" s="17"/>
      <c r="J81" s="17"/>
      <c r="K81" s="17"/>
    </row>
    <row r="82" spans="1:11" ht="15" customHeight="1" x14ac:dyDescent="0.3">
      <c r="A82" s="19"/>
      <c r="B82" s="19"/>
      <c r="C82" s="19"/>
      <c r="D82" s="19"/>
      <c r="E82" s="19"/>
      <c r="F82" s="19"/>
      <c r="G82" s="30">
        <f t="shared" si="6"/>
        <v>0</v>
      </c>
      <c r="H82" s="31" t="str">
        <f t="shared" si="7"/>
        <v/>
      </c>
      <c r="I82" s="19"/>
      <c r="J82" s="19"/>
      <c r="K82" s="19"/>
    </row>
    <row r="83" spans="1:11" ht="15" customHeight="1" x14ac:dyDescent="0.3">
      <c r="A83" s="17"/>
      <c r="B83" s="17"/>
      <c r="C83" s="17"/>
      <c r="D83" s="17"/>
      <c r="E83" s="17"/>
      <c r="F83" s="17"/>
      <c r="G83" s="28">
        <f t="shared" si="6"/>
        <v>0</v>
      </c>
      <c r="H83" s="29" t="str">
        <f t="shared" si="7"/>
        <v/>
      </c>
      <c r="I83" s="17"/>
      <c r="J83" s="17"/>
      <c r="K83" s="17"/>
    </row>
    <row r="84" spans="1:11" ht="15" customHeight="1" x14ac:dyDescent="0.3">
      <c r="A84" s="19"/>
      <c r="B84" s="19"/>
      <c r="C84" s="19"/>
      <c r="D84" s="19"/>
      <c r="E84" s="19"/>
      <c r="F84" s="19"/>
      <c r="G84" s="30">
        <f t="shared" si="6"/>
        <v>0</v>
      </c>
      <c r="H84" s="31" t="str">
        <f t="shared" si="7"/>
        <v/>
      </c>
      <c r="I84" s="19"/>
      <c r="J84" s="19"/>
      <c r="K84" s="19"/>
    </row>
    <row r="85" spans="1:11" ht="15" customHeight="1" x14ac:dyDescent="0.3">
      <c r="A85" s="17"/>
      <c r="B85" s="17"/>
      <c r="C85" s="17"/>
      <c r="D85" s="17"/>
      <c r="E85" s="17"/>
      <c r="F85" s="17"/>
      <c r="G85" s="28">
        <f t="shared" si="6"/>
        <v>0</v>
      </c>
      <c r="H85" s="29" t="str">
        <f t="shared" si="7"/>
        <v/>
      </c>
      <c r="I85" s="17"/>
      <c r="J85" s="17"/>
      <c r="K85" s="17"/>
    </row>
    <row r="86" spans="1:11" ht="15" customHeight="1" x14ac:dyDescent="0.3">
      <c r="A86" s="19"/>
      <c r="B86" s="19"/>
      <c r="C86" s="19"/>
      <c r="D86" s="19"/>
      <c r="E86" s="19"/>
      <c r="F86" s="19"/>
      <c r="G86" s="30">
        <f t="shared" si="6"/>
        <v>0</v>
      </c>
      <c r="H86" s="31" t="str">
        <f t="shared" si="7"/>
        <v/>
      </c>
      <c r="I86" s="19"/>
      <c r="J86" s="19"/>
      <c r="K86" s="19"/>
    </row>
    <row r="87" spans="1:11" ht="15" customHeight="1" x14ac:dyDescent="0.3">
      <c r="A87" s="17"/>
      <c r="B87" s="17"/>
      <c r="C87" s="17"/>
      <c r="D87" s="17"/>
      <c r="E87" s="17"/>
      <c r="F87" s="17"/>
      <c r="G87" s="28">
        <f t="shared" si="6"/>
        <v>0</v>
      </c>
      <c r="H87" s="29" t="str">
        <f t="shared" si="7"/>
        <v/>
      </c>
      <c r="I87" s="17"/>
      <c r="J87" s="17"/>
      <c r="K87" s="17"/>
    </row>
    <row r="88" spans="1:11" ht="15" customHeight="1" x14ac:dyDescent="0.3">
      <c r="A88" s="19"/>
      <c r="B88" s="19"/>
      <c r="C88" s="19"/>
      <c r="D88" s="19"/>
      <c r="E88" s="19"/>
      <c r="F88" s="19"/>
      <c r="G88" s="30">
        <f t="shared" si="6"/>
        <v>0</v>
      </c>
      <c r="H88" s="31" t="str">
        <f t="shared" si="7"/>
        <v/>
      </c>
      <c r="I88" s="19"/>
      <c r="J88" s="19"/>
      <c r="K88" s="19"/>
    </row>
    <row r="89" spans="1:11" ht="15" customHeight="1" x14ac:dyDescent="0.3">
      <c r="A89" s="17"/>
      <c r="B89" s="17"/>
      <c r="C89" s="17"/>
      <c r="D89" s="17"/>
      <c r="E89" s="17"/>
      <c r="F89" s="17"/>
      <c r="G89" s="28">
        <f t="shared" si="6"/>
        <v>0</v>
      </c>
      <c r="H89" s="29" t="str">
        <f t="shared" si="7"/>
        <v/>
      </c>
      <c r="I89" s="17"/>
      <c r="J89" s="17"/>
      <c r="K89" s="17"/>
    </row>
    <row r="90" spans="1:11" ht="15" customHeight="1" x14ac:dyDescent="0.3">
      <c r="A90" s="19"/>
      <c r="B90" s="19"/>
      <c r="C90" s="19"/>
      <c r="D90" s="19"/>
      <c r="E90" s="19"/>
      <c r="F90" s="19"/>
      <c r="G90" s="30">
        <f t="shared" si="6"/>
        <v>0</v>
      </c>
      <c r="H90" s="31" t="str">
        <f t="shared" si="7"/>
        <v/>
      </c>
      <c r="I90" s="19"/>
      <c r="J90" s="19"/>
      <c r="K90" s="19"/>
    </row>
    <row r="91" spans="1:11" ht="15" customHeight="1" x14ac:dyDescent="0.3">
      <c r="A91" s="17"/>
      <c r="B91" s="17"/>
      <c r="C91" s="17"/>
      <c r="D91" s="17"/>
      <c r="E91" s="17"/>
      <c r="F91" s="17"/>
      <c r="G91" s="28">
        <f t="shared" si="6"/>
        <v>0</v>
      </c>
      <c r="H91" s="29" t="str">
        <f t="shared" si="7"/>
        <v/>
      </c>
      <c r="I91" s="17"/>
      <c r="J91" s="17"/>
      <c r="K91" s="17"/>
    </row>
    <row r="92" spans="1:11" ht="15" customHeight="1" x14ac:dyDescent="0.3">
      <c r="A92" s="19"/>
      <c r="B92" s="19"/>
      <c r="C92" s="19"/>
      <c r="D92" s="19"/>
      <c r="E92" s="19"/>
      <c r="F92" s="19"/>
      <c r="G92" s="30">
        <f t="shared" si="6"/>
        <v>0</v>
      </c>
      <c r="H92" s="31" t="str">
        <f t="shared" si="7"/>
        <v/>
      </c>
      <c r="I92" s="19"/>
      <c r="J92" s="19"/>
      <c r="K92" s="19"/>
    </row>
    <row r="93" spans="1:11" ht="15" customHeight="1" x14ac:dyDescent="0.3">
      <c r="A93" s="17"/>
      <c r="B93" s="17"/>
      <c r="C93" s="17"/>
      <c r="D93" s="17"/>
      <c r="E93" s="17"/>
      <c r="F93" s="17"/>
      <c r="G93" s="28">
        <f t="shared" si="6"/>
        <v>0</v>
      </c>
      <c r="H93" s="29" t="str">
        <f t="shared" si="7"/>
        <v/>
      </c>
      <c r="I93" s="17"/>
      <c r="J93" s="17"/>
      <c r="K93" s="17"/>
    </row>
    <row r="94" spans="1:11" ht="15" customHeight="1" x14ac:dyDescent="0.3">
      <c r="A94" s="19"/>
      <c r="B94" s="19"/>
      <c r="C94" s="19"/>
      <c r="D94" s="19"/>
      <c r="E94" s="19"/>
      <c r="F94" s="19"/>
      <c r="G94" s="30">
        <f t="shared" si="6"/>
        <v>0</v>
      </c>
      <c r="H94" s="31" t="str">
        <f t="shared" si="7"/>
        <v/>
      </c>
      <c r="I94" s="19"/>
      <c r="J94" s="19"/>
      <c r="K94" s="19"/>
    </row>
    <row r="95" spans="1:11" ht="15" customHeight="1" x14ac:dyDescent="0.3">
      <c r="A95" s="17"/>
      <c r="B95" s="17"/>
      <c r="C95" s="17"/>
      <c r="D95" s="17"/>
      <c r="E95" s="17"/>
      <c r="F95" s="17"/>
      <c r="G95" s="28">
        <f t="shared" si="6"/>
        <v>0</v>
      </c>
      <c r="H95" s="29" t="str">
        <f t="shared" si="7"/>
        <v/>
      </c>
      <c r="I95" s="17"/>
      <c r="J95" s="17"/>
      <c r="K95" s="17"/>
    </row>
    <row r="96" spans="1:11" ht="15" customHeight="1" x14ac:dyDescent="0.3">
      <c r="A96" s="19"/>
      <c r="B96" s="19"/>
      <c r="C96" s="19"/>
      <c r="D96" s="19"/>
      <c r="E96" s="19"/>
      <c r="F96" s="19"/>
      <c r="G96" s="30">
        <f t="shared" si="6"/>
        <v>0</v>
      </c>
      <c r="H96" s="31" t="str">
        <f t="shared" si="7"/>
        <v/>
      </c>
      <c r="I96" s="19"/>
      <c r="J96" s="19"/>
      <c r="K96" s="19"/>
    </row>
    <row r="97" spans="1:11" ht="15" customHeight="1" x14ac:dyDescent="0.3">
      <c r="A97" s="17"/>
      <c r="B97" s="17"/>
      <c r="C97" s="17"/>
      <c r="D97" s="17"/>
      <c r="E97" s="17"/>
      <c r="F97" s="17"/>
      <c r="G97" s="28">
        <f t="shared" si="6"/>
        <v>0</v>
      </c>
      <c r="H97" s="29" t="str">
        <f t="shared" si="7"/>
        <v/>
      </c>
      <c r="I97" s="17"/>
      <c r="J97" s="17"/>
      <c r="K97" s="17"/>
    </row>
    <row r="98" spans="1:11" ht="15" customHeight="1" x14ac:dyDescent="0.3">
      <c r="A98" s="19"/>
      <c r="B98" s="19"/>
      <c r="C98" s="19"/>
      <c r="D98" s="19"/>
      <c r="E98" s="19"/>
      <c r="F98" s="19"/>
      <c r="G98" s="30">
        <f t="shared" si="6"/>
        <v>0</v>
      </c>
      <c r="H98" s="31" t="str">
        <f t="shared" si="7"/>
        <v/>
      </c>
      <c r="I98" s="19"/>
      <c r="J98" s="19"/>
      <c r="K98" s="19"/>
    </row>
    <row r="99" spans="1:11" ht="15" customHeight="1" x14ac:dyDescent="0.3">
      <c r="A99" s="17"/>
      <c r="B99" s="17"/>
      <c r="C99" s="17"/>
      <c r="D99" s="17"/>
      <c r="E99" s="17"/>
      <c r="F99" s="17"/>
      <c r="G99" s="28">
        <f t="shared" si="6"/>
        <v>0</v>
      </c>
      <c r="H99" s="29" t="str">
        <f t="shared" si="7"/>
        <v/>
      </c>
      <c r="I99" s="17"/>
      <c r="J99" s="17"/>
      <c r="K99" s="17"/>
    </row>
    <row r="100" spans="1:11" ht="15" customHeight="1" x14ac:dyDescent="0.3">
      <c r="A100" s="19"/>
      <c r="B100" s="19"/>
      <c r="C100" s="19"/>
      <c r="D100" s="19"/>
      <c r="E100" s="19"/>
      <c r="F100" s="19"/>
      <c r="G100" s="30">
        <f t="shared" si="6"/>
        <v>0</v>
      </c>
      <c r="H100" s="31" t="str">
        <f t="shared" si="7"/>
        <v/>
      </c>
      <c r="I100" s="19"/>
      <c r="J100" s="19"/>
      <c r="K100" s="19"/>
    </row>
    <row r="101" spans="1:11" ht="15" customHeight="1" x14ac:dyDescent="0.3">
      <c r="A101" s="17"/>
      <c r="B101" s="17"/>
      <c r="C101" s="17"/>
      <c r="D101" s="17"/>
      <c r="E101" s="17"/>
      <c r="F101" s="17"/>
      <c r="G101" s="28">
        <f t="shared" si="6"/>
        <v>0</v>
      </c>
      <c r="H101" s="29" t="str">
        <f t="shared" si="7"/>
        <v/>
      </c>
      <c r="I101" s="17"/>
      <c r="J101" s="17"/>
      <c r="K101" s="17"/>
    </row>
    <row r="103" spans="1:11" ht="15" customHeight="1" x14ac:dyDescent="0.3">
      <c r="A103" s="103" t="s">
        <v>94</v>
      </c>
      <c r="B103" s="103"/>
      <c r="C103" s="103"/>
      <c r="D103" s="103"/>
      <c r="E103" s="32">
        <f>SUM(E4:E102)</f>
        <v>183000</v>
      </c>
      <c r="F103" s="32">
        <f>SUM(F4:F102)</f>
        <v>123700</v>
      </c>
      <c r="G103" s="32">
        <f>F103-E103</f>
        <v>-59300</v>
      </c>
      <c r="H103" s="33">
        <f>IFERROR(F103/E103,0)</f>
        <v>0.67595628415300546</v>
      </c>
    </row>
  </sheetData>
  <mergeCells count="3">
    <mergeCell ref="A1:K1"/>
    <mergeCell ref="A2:K2"/>
    <mergeCell ref="A103:D10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3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24" customWidth="1"/>
    <col min="3" max="3" width="20" customWidth="1"/>
    <col min="4" max="4" width="13" customWidth="1"/>
    <col min="5" max="5" width="14" customWidth="1"/>
    <col min="6" max="6" width="12" customWidth="1"/>
    <col min="7" max="7" width="16" customWidth="1"/>
    <col min="8" max="10" width="17" customWidth="1"/>
    <col min="11" max="11" width="24" customWidth="1"/>
  </cols>
  <sheetData>
    <row r="1" spans="1:11" ht="31.5" customHeight="1" x14ac:dyDescent="0.3">
      <c r="A1" s="104" t="s">
        <v>95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</row>
    <row r="2" spans="1:11" ht="15" customHeight="1" x14ac:dyDescent="0.3">
      <c r="A2" s="102" t="s">
        <v>96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</row>
    <row r="3" spans="1:11" ht="21.75" customHeight="1" x14ac:dyDescent="0.3">
      <c r="A3" s="34" t="s">
        <v>16</v>
      </c>
      <c r="B3" s="34" t="s">
        <v>97</v>
      </c>
      <c r="C3" s="34" t="s">
        <v>98</v>
      </c>
      <c r="D3" s="34" t="s">
        <v>99</v>
      </c>
      <c r="E3" s="34" t="s">
        <v>100</v>
      </c>
      <c r="F3" s="34" t="s">
        <v>101</v>
      </c>
      <c r="G3" s="34" t="s">
        <v>102</v>
      </c>
      <c r="H3" s="34" t="s">
        <v>103</v>
      </c>
      <c r="I3" s="34" t="s">
        <v>104</v>
      </c>
      <c r="J3" s="34" t="s">
        <v>105</v>
      </c>
      <c r="K3" s="34" t="s">
        <v>63</v>
      </c>
    </row>
    <row r="4" spans="1:11" ht="15" customHeight="1" x14ac:dyDescent="0.3">
      <c r="A4" s="35" t="s">
        <v>26</v>
      </c>
      <c r="B4" s="35" t="s">
        <v>106</v>
      </c>
      <c r="C4" s="35" t="s">
        <v>107</v>
      </c>
      <c r="D4" s="36" t="s">
        <v>89</v>
      </c>
      <c r="E4" s="35">
        <v>8</v>
      </c>
      <c r="F4" s="35">
        <v>0</v>
      </c>
      <c r="G4" s="37">
        <v>18</v>
      </c>
      <c r="H4" s="38">
        <f t="shared" ref="H4:H11" si="0">E4*G4</f>
        <v>144</v>
      </c>
      <c r="I4" s="38">
        <f t="shared" ref="I4:I11" si="1">F4*G4*1.5</f>
        <v>0</v>
      </c>
      <c r="J4" s="39">
        <f t="shared" ref="J4:J11" si="2">H4+I4</f>
        <v>144</v>
      </c>
    </row>
    <row r="5" spans="1:11" ht="15" customHeight="1" x14ac:dyDescent="0.3">
      <c r="A5" s="17" t="s">
        <v>26</v>
      </c>
      <c r="B5" s="17" t="s">
        <v>108</v>
      </c>
      <c r="C5" s="17" t="s">
        <v>109</v>
      </c>
      <c r="D5" s="18" t="s">
        <v>89</v>
      </c>
      <c r="E5" s="17">
        <v>8</v>
      </c>
      <c r="F5" s="17">
        <v>2</v>
      </c>
      <c r="G5" s="25">
        <v>14</v>
      </c>
      <c r="H5" s="26">
        <f t="shared" si="0"/>
        <v>112</v>
      </c>
      <c r="I5" s="26">
        <f t="shared" si="1"/>
        <v>42</v>
      </c>
      <c r="J5" s="40">
        <f t="shared" si="2"/>
        <v>154</v>
      </c>
    </row>
    <row r="6" spans="1:11" ht="15" customHeight="1" x14ac:dyDescent="0.3">
      <c r="A6" s="35" t="s">
        <v>26</v>
      </c>
      <c r="B6" s="35" t="s">
        <v>110</v>
      </c>
      <c r="C6" s="35" t="s">
        <v>111</v>
      </c>
      <c r="D6" s="36" t="s">
        <v>89</v>
      </c>
      <c r="E6" s="35">
        <v>8</v>
      </c>
      <c r="F6" s="35">
        <v>0</v>
      </c>
      <c r="G6" s="37">
        <v>11</v>
      </c>
      <c r="H6" s="38">
        <f t="shared" si="0"/>
        <v>88</v>
      </c>
      <c r="I6" s="38">
        <f t="shared" si="1"/>
        <v>0</v>
      </c>
      <c r="J6" s="39">
        <f t="shared" si="2"/>
        <v>88</v>
      </c>
    </row>
    <row r="7" spans="1:11" ht="15" customHeight="1" x14ac:dyDescent="0.3">
      <c r="A7" s="17" t="s">
        <v>26</v>
      </c>
      <c r="B7" s="17" t="s">
        <v>106</v>
      </c>
      <c r="C7" s="17" t="s">
        <v>107</v>
      </c>
      <c r="D7" s="18" t="s">
        <v>112</v>
      </c>
      <c r="E7" s="17">
        <v>8</v>
      </c>
      <c r="F7" s="17">
        <v>1</v>
      </c>
      <c r="G7" s="25">
        <v>18</v>
      </c>
      <c r="H7" s="26">
        <f t="shared" si="0"/>
        <v>144</v>
      </c>
      <c r="I7" s="26">
        <f t="shared" si="1"/>
        <v>27</v>
      </c>
      <c r="J7" s="40">
        <f t="shared" si="2"/>
        <v>171</v>
      </c>
    </row>
    <row r="8" spans="1:11" ht="15" customHeight="1" x14ac:dyDescent="0.3">
      <c r="A8" s="35" t="s">
        <v>36</v>
      </c>
      <c r="B8" s="35" t="s">
        <v>113</v>
      </c>
      <c r="C8" s="35" t="s">
        <v>114</v>
      </c>
      <c r="D8" s="36" t="s">
        <v>115</v>
      </c>
      <c r="E8" s="35">
        <v>8</v>
      </c>
      <c r="F8" s="35">
        <v>0</v>
      </c>
      <c r="G8" s="37">
        <v>16.5</v>
      </c>
      <c r="H8" s="38">
        <f t="shared" si="0"/>
        <v>132</v>
      </c>
      <c r="I8" s="38">
        <f t="shared" si="1"/>
        <v>0</v>
      </c>
      <c r="J8" s="39">
        <f t="shared" si="2"/>
        <v>132</v>
      </c>
    </row>
    <row r="9" spans="1:11" ht="15" customHeight="1" x14ac:dyDescent="0.3">
      <c r="A9" s="17" t="s">
        <v>36</v>
      </c>
      <c r="B9" s="17" t="s">
        <v>116</v>
      </c>
      <c r="C9" s="17" t="s">
        <v>117</v>
      </c>
      <c r="D9" s="18" t="s">
        <v>115</v>
      </c>
      <c r="E9" s="17">
        <v>8</v>
      </c>
      <c r="F9" s="17">
        <v>3</v>
      </c>
      <c r="G9" s="25">
        <v>15</v>
      </c>
      <c r="H9" s="26">
        <f t="shared" si="0"/>
        <v>120</v>
      </c>
      <c r="I9" s="26">
        <f t="shared" si="1"/>
        <v>67.5</v>
      </c>
      <c r="J9" s="40">
        <f t="shared" si="2"/>
        <v>187.5</v>
      </c>
    </row>
    <row r="10" spans="1:11" ht="15" customHeight="1" x14ac:dyDescent="0.3">
      <c r="A10" s="35" t="s">
        <v>36</v>
      </c>
      <c r="B10" s="35" t="s">
        <v>118</v>
      </c>
      <c r="C10" s="35" t="s">
        <v>119</v>
      </c>
      <c r="D10" s="36" t="s">
        <v>120</v>
      </c>
      <c r="E10" s="35">
        <v>8</v>
      </c>
      <c r="F10" s="35">
        <v>0</v>
      </c>
      <c r="G10" s="37">
        <v>13</v>
      </c>
      <c r="H10" s="38">
        <f t="shared" si="0"/>
        <v>104</v>
      </c>
      <c r="I10" s="38">
        <f t="shared" si="1"/>
        <v>0</v>
      </c>
      <c r="J10" s="39">
        <f t="shared" si="2"/>
        <v>104</v>
      </c>
    </row>
    <row r="11" spans="1:11" ht="15" customHeight="1" x14ac:dyDescent="0.3">
      <c r="A11" s="17" t="s">
        <v>46</v>
      </c>
      <c r="B11" s="17" t="s">
        <v>121</v>
      </c>
      <c r="C11" s="17" t="s">
        <v>122</v>
      </c>
      <c r="D11" s="18" t="s">
        <v>123</v>
      </c>
      <c r="E11" s="17">
        <v>7</v>
      </c>
      <c r="F11" s="17">
        <v>0</v>
      </c>
      <c r="G11" s="25">
        <v>25</v>
      </c>
      <c r="H11" s="26">
        <f t="shared" si="0"/>
        <v>175</v>
      </c>
      <c r="I11" s="26">
        <f t="shared" si="1"/>
        <v>0</v>
      </c>
      <c r="J11" s="40">
        <f t="shared" si="2"/>
        <v>175</v>
      </c>
    </row>
    <row r="12" spans="1:11" ht="15" customHeight="1" x14ac:dyDescent="0.3">
      <c r="A12" s="35"/>
      <c r="B12" s="35"/>
      <c r="C12" s="35"/>
      <c r="D12" s="35"/>
      <c r="E12" s="35"/>
      <c r="F12" s="35"/>
      <c r="G12" s="35"/>
      <c r="H12" s="41">
        <f t="shared" ref="H12:H43" si="3">IFERROR(E12*G12,"")</f>
        <v>0</v>
      </c>
      <c r="I12" s="41">
        <f t="shared" ref="I12:I43" si="4">IFERROR(F12*G12*1.5,"")</f>
        <v>0</v>
      </c>
      <c r="J12" s="41">
        <f t="shared" ref="J12:J43" si="5">IFERROR(H12+I12,"")</f>
        <v>0</v>
      </c>
      <c r="K12" s="35"/>
    </row>
    <row r="13" spans="1:11" ht="15" customHeight="1" x14ac:dyDescent="0.3">
      <c r="A13" s="17"/>
      <c r="B13" s="17"/>
      <c r="C13" s="17"/>
      <c r="D13" s="17"/>
      <c r="E13" s="17"/>
      <c r="F13" s="17"/>
      <c r="G13" s="17"/>
      <c r="H13" s="28">
        <f t="shared" si="3"/>
        <v>0</v>
      </c>
      <c r="I13" s="28">
        <f t="shared" si="4"/>
        <v>0</v>
      </c>
      <c r="J13" s="28">
        <f t="shared" si="5"/>
        <v>0</v>
      </c>
      <c r="K13" s="17"/>
    </row>
    <row r="14" spans="1:11" ht="15" customHeight="1" x14ac:dyDescent="0.3">
      <c r="A14" s="35"/>
      <c r="B14" s="35"/>
      <c r="C14" s="35"/>
      <c r="D14" s="35"/>
      <c r="E14" s="35"/>
      <c r="F14" s="35"/>
      <c r="G14" s="35"/>
      <c r="H14" s="41">
        <f t="shared" si="3"/>
        <v>0</v>
      </c>
      <c r="I14" s="41">
        <f t="shared" si="4"/>
        <v>0</v>
      </c>
      <c r="J14" s="41">
        <f t="shared" si="5"/>
        <v>0</v>
      </c>
      <c r="K14" s="35"/>
    </row>
    <row r="15" spans="1:11" ht="15" customHeight="1" x14ac:dyDescent="0.3">
      <c r="A15" s="17"/>
      <c r="B15" s="17"/>
      <c r="C15" s="17"/>
      <c r="D15" s="17"/>
      <c r="E15" s="17"/>
      <c r="F15" s="17"/>
      <c r="G15" s="17"/>
      <c r="H15" s="28">
        <f t="shared" si="3"/>
        <v>0</v>
      </c>
      <c r="I15" s="28">
        <f t="shared" si="4"/>
        <v>0</v>
      </c>
      <c r="J15" s="28">
        <f t="shared" si="5"/>
        <v>0</v>
      </c>
      <c r="K15" s="17"/>
    </row>
    <row r="16" spans="1:11" ht="15" customHeight="1" x14ac:dyDescent="0.3">
      <c r="A16" s="35"/>
      <c r="B16" s="35"/>
      <c r="C16" s="35"/>
      <c r="D16" s="35"/>
      <c r="E16" s="35"/>
      <c r="F16" s="35"/>
      <c r="G16" s="35"/>
      <c r="H16" s="41">
        <f t="shared" si="3"/>
        <v>0</v>
      </c>
      <c r="I16" s="41">
        <f t="shared" si="4"/>
        <v>0</v>
      </c>
      <c r="J16" s="41">
        <f t="shared" si="5"/>
        <v>0</v>
      </c>
      <c r="K16" s="35"/>
    </row>
    <row r="17" spans="1:11" ht="15" customHeight="1" x14ac:dyDescent="0.3">
      <c r="A17" s="17"/>
      <c r="B17" s="17"/>
      <c r="C17" s="17"/>
      <c r="D17" s="17"/>
      <c r="E17" s="17"/>
      <c r="F17" s="17"/>
      <c r="G17" s="17"/>
      <c r="H17" s="28">
        <f t="shared" si="3"/>
        <v>0</v>
      </c>
      <c r="I17" s="28">
        <f t="shared" si="4"/>
        <v>0</v>
      </c>
      <c r="J17" s="28">
        <f t="shared" si="5"/>
        <v>0</v>
      </c>
      <c r="K17" s="17"/>
    </row>
    <row r="18" spans="1:11" ht="15" customHeight="1" x14ac:dyDescent="0.3">
      <c r="A18" s="35"/>
      <c r="B18" s="35"/>
      <c r="C18" s="35"/>
      <c r="D18" s="35"/>
      <c r="E18" s="35"/>
      <c r="F18" s="35"/>
      <c r="G18" s="35"/>
      <c r="H18" s="41">
        <f t="shared" si="3"/>
        <v>0</v>
      </c>
      <c r="I18" s="41">
        <f t="shared" si="4"/>
        <v>0</v>
      </c>
      <c r="J18" s="41">
        <f t="shared" si="5"/>
        <v>0</v>
      </c>
      <c r="K18" s="35"/>
    </row>
    <row r="19" spans="1:11" ht="15" customHeight="1" x14ac:dyDescent="0.3">
      <c r="A19" s="17"/>
      <c r="B19" s="17"/>
      <c r="C19" s="17"/>
      <c r="D19" s="17"/>
      <c r="E19" s="17"/>
      <c r="F19" s="17"/>
      <c r="G19" s="17"/>
      <c r="H19" s="28">
        <f t="shared" si="3"/>
        <v>0</v>
      </c>
      <c r="I19" s="28">
        <f t="shared" si="4"/>
        <v>0</v>
      </c>
      <c r="J19" s="28">
        <f t="shared" si="5"/>
        <v>0</v>
      </c>
      <c r="K19" s="17"/>
    </row>
    <row r="20" spans="1:11" ht="15" customHeight="1" x14ac:dyDescent="0.3">
      <c r="A20" s="35"/>
      <c r="B20" s="35"/>
      <c r="C20" s="35"/>
      <c r="D20" s="35"/>
      <c r="E20" s="35"/>
      <c r="F20" s="35"/>
      <c r="G20" s="35"/>
      <c r="H20" s="41">
        <f t="shared" si="3"/>
        <v>0</v>
      </c>
      <c r="I20" s="41">
        <f t="shared" si="4"/>
        <v>0</v>
      </c>
      <c r="J20" s="41">
        <f t="shared" si="5"/>
        <v>0</v>
      </c>
      <c r="K20" s="35"/>
    </row>
    <row r="21" spans="1:11" ht="15" customHeight="1" x14ac:dyDescent="0.3">
      <c r="A21" s="17"/>
      <c r="B21" s="17"/>
      <c r="C21" s="17"/>
      <c r="D21" s="17"/>
      <c r="E21" s="17"/>
      <c r="F21" s="17"/>
      <c r="G21" s="17"/>
      <c r="H21" s="28">
        <f t="shared" si="3"/>
        <v>0</v>
      </c>
      <c r="I21" s="28">
        <f t="shared" si="4"/>
        <v>0</v>
      </c>
      <c r="J21" s="28">
        <f t="shared" si="5"/>
        <v>0</v>
      </c>
      <c r="K21" s="17"/>
    </row>
    <row r="22" spans="1:11" ht="15" customHeight="1" x14ac:dyDescent="0.3">
      <c r="A22" s="35"/>
      <c r="B22" s="35"/>
      <c r="C22" s="35"/>
      <c r="D22" s="35"/>
      <c r="E22" s="35"/>
      <c r="F22" s="35"/>
      <c r="G22" s="35"/>
      <c r="H22" s="41">
        <f t="shared" si="3"/>
        <v>0</v>
      </c>
      <c r="I22" s="41">
        <f t="shared" si="4"/>
        <v>0</v>
      </c>
      <c r="J22" s="41">
        <f t="shared" si="5"/>
        <v>0</v>
      </c>
      <c r="K22" s="35"/>
    </row>
    <row r="23" spans="1:11" ht="15" customHeight="1" x14ac:dyDescent="0.3">
      <c r="A23" s="17"/>
      <c r="B23" s="17"/>
      <c r="C23" s="17"/>
      <c r="D23" s="17"/>
      <c r="E23" s="17"/>
      <c r="F23" s="17"/>
      <c r="G23" s="17"/>
      <c r="H23" s="28">
        <f t="shared" si="3"/>
        <v>0</v>
      </c>
      <c r="I23" s="28">
        <f t="shared" si="4"/>
        <v>0</v>
      </c>
      <c r="J23" s="28">
        <f t="shared" si="5"/>
        <v>0</v>
      </c>
      <c r="K23" s="17"/>
    </row>
    <row r="24" spans="1:11" ht="15" customHeight="1" x14ac:dyDescent="0.3">
      <c r="A24" s="35"/>
      <c r="B24" s="35"/>
      <c r="C24" s="35"/>
      <c r="D24" s="35"/>
      <c r="E24" s="35"/>
      <c r="F24" s="35"/>
      <c r="G24" s="35"/>
      <c r="H24" s="41">
        <f t="shared" si="3"/>
        <v>0</v>
      </c>
      <c r="I24" s="41">
        <f t="shared" si="4"/>
        <v>0</v>
      </c>
      <c r="J24" s="41">
        <f t="shared" si="5"/>
        <v>0</v>
      </c>
      <c r="K24" s="35"/>
    </row>
    <row r="25" spans="1:11" ht="15" customHeight="1" x14ac:dyDescent="0.3">
      <c r="A25" s="17"/>
      <c r="B25" s="17"/>
      <c r="C25" s="17"/>
      <c r="D25" s="17"/>
      <c r="E25" s="17"/>
      <c r="F25" s="17"/>
      <c r="G25" s="17"/>
      <c r="H25" s="28">
        <f t="shared" si="3"/>
        <v>0</v>
      </c>
      <c r="I25" s="28">
        <f t="shared" si="4"/>
        <v>0</v>
      </c>
      <c r="J25" s="28">
        <f t="shared" si="5"/>
        <v>0</v>
      </c>
      <c r="K25" s="17"/>
    </row>
    <row r="26" spans="1:11" ht="15" customHeight="1" x14ac:dyDescent="0.3">
      <c r="A26" s="35"/>
      <c r="B26" s="35"/>
      <c r="C26" s="35"/>
      <c r="D26" s="35"/>
      <c r="E26" s="35"/>
      <c r="F26" s="35"/>
      <c r="G26" s="35"/>
      <c r="H26" s="41">
        <f t="shared" si="3"/>
        <v>0</v>
      </c>
      <c r="I26" s="41">
        <f t="shared" si="4"/>
        <v>0</v>
      </c>
      <c r="J26" s="41">
        <f t="shared" si="5"/>
        <v>0</v>
      </c>
      <c r="K26" s="35"/>
    </row>
    <row r="27" spans="1:11" ht="15" customHeight="1" x14ac:dyDescent="0.3">
      <c r="A27" s="17"/>
      <c r="B27" s="17"/>
      <c r="C27" s="17"/>
      <c r="D27" s="17"/>
      <c r="E27" s="17"/>
      <c r="F27" s="17"/>
      <c r="G27" s="17"/>
      <c r="H27" s="28">
        <f t="shared" si="3"/>
        <v>0</v>
      </c>
      <c r="I27" s="28">
        <f t="shared" si="4"/>
        <v>0</v>
      </c>
      <c r="J27" s="28">
        <f t="shared" si="5"/>
        <v>0</v>
      </c>
      <c r="K27" s="17"/>
    </row>
    <row r="28" spans="1:11" ht="15" customHeight="1" x14ac:dyDescent="0.3">
      <c r="A28" s="35"/>
      <c r="B28" s="35"/>
      <c r="C28" s="35"/>
      <c r="D28" s="35"/>
      <c r="E28" s="35"/>
      <c r="F28" s="35"/>
      <c r="G28" s="35"/>
      <c r="H28" s="41">
        <f t="shared" si="3"/>
        <v>0</v>
      </c>
      <c r="I28" s="41">
        <f t="shared" si="4"/>
        <v>0</v>
      </c>
      <c r="J28" s="41">
        <f t="shared" si="5"/>
        <v>0</v>
      </c>
      <c r="K28" s="35"/>
    </row>
    <row r="29" spans="1:11" ht="15" customHeight="1" x14ac:dyDescent="0.3">
      <c r="A29" s="17"/>
      <c r="B29" s="17"/>
      <c r="C29" s="17"/>
      <c r="D29" s="17"/>
      <c r="E29" s="17"/>
      <c r="F29" s="17"/>
      <c r="G29" s="17"/>
      <c r="H29" s="28">
        <f t="shared" si="3"/>
        <v>0</v>
      </c>
      <c r="I29" s="28">
        <f t="shared" si="4"/>
        <v>0</v>
      </c>
      <c r="J29" s="28">
        <f t="shared" si="5"/>
        <v>0</v>
      </c>
      <c r="K29" s="17"/>
    </row>
    <row r="30" spans="1:11" ht="15" customHeight="1" x14ac:dyDescent="0.3">
      <c r="A30" s="35"/>
      <c r="B30" s="35"/>
      <c r="C30" s="35"/>
      <c r="D30" s="35"/>
      <c r="E30" s="35"/>
      <c r="F30" s="35"/>
      <c r="G30" s="35"/>
      <c r="H30" s="41">
        <f t="shared" si="3"/>
        <v>0</v>
      </c>
      <c r="I30" s="41">
        <f t="shared" si="4"/>
        <v>0</v>
      </c>
      <c r="J30" s="41">
        <f t="shared" si="5"/>
        <v>0</v>
      </c>
      <c r="K30" s="35"/>
    </row>
    <row r="31" spans="1:11" ht="15" customHeight="1" x14ac:dyDescent="0.3">
      <c r="A31" s="17"/>
      <c r="B31" s="17"/>
      <c r="C31" s="17"/>
      <c r="D31" s="17"/>
      <c r="E31" s="17"/>
      <c r="F31" s="17"/>
      <c r="G31" s="17"/>
      <c r="H31" s="28">
        <f t="shared" si="3"/>
        <v>0</v>
      </c>
      <c r="I31" s="28">
        <f t="shared" si="4"/>
        <v>0</v>
      </c>
      <c r="J31" s="28">
        <f t="shared" si="5"/>
        <v>0</v>
      </c>
      <c r="K31" s="17"/>
    </row>
    <row r="32" spans="1:11" ht="15" customHeight="1" x14ac:dyDescent="0.3">
      <c r="A32" s="35"/>
      <c r="B32" s="35"/>
      <c r="C32" s="35"/>
      <c r="D32" s="35"/>
      <c r="E32" s="35"/>
      <c r="F32" s="35"/>
      <c r="G32" s="35"/>
      <c r="H32" s="41">
        <f t="shared" si="3"/>
        <v>0</v>
      </c>
      <c r="I32" s="41">
        <f t="shared" si="4"/>
        <v>0</v>
      </c>
      <c r="J32" s="41">
        <f t="shared" si="5"/>
        <v>0</v>
      </c>
      <c r="K32" s="35"/>
    </row>
    <row r="33" spans="1:11" ht="15" customHeight="1" x14ac:dyDescent="0.3">
      <c r="A33" s="17"/>
      <c r="B33" s="17"/>
      <c r="C33" s="17"/>
      <c r="D33" s="17"/>
      <c r="E33" s="17"/>
      <c r="F33" s="17"/>
      <c r="G33" s="17"/>
      <c r="H33" s="28">
        <f t="shared" si="3"/>
        <v>0</v>
      </c>
      <c r="I33" s="28">
        <f t="shared" si="4"/>
        <v>0</v>
      </c>
      <c r="J33" s="28">
        <f t="shared" si="5"/>
        <v>0</v>
      </c>
      <c r="K33" s="17"/>
    </row>
    <row r="34" spans="1:11" ht="15" customHeight="1" x14ac:dyDescent="0.3">
      <c r="A34" s="35"/>
      <c r="B34" s="35"/>
      <c r="C34" s="35"/>
      <c r="D34" s="35"/>
      <c r="E34" s="35"/>
      <c r="F34" s="35"/>
      <c r="G34" s="35"/>
      <c r="H34" s="41">
        <f t="shared" si="3"/>
        <v>0</v>
      </c>
      <c r="I34" s="41">
        <f t="shared" si="4"/>
        <v>0</v>
      </c>
      <c r="J34" s="41">
        <f t="shared" si="5"/>
        <v>0</v>
      </c>
      <c r="K34" s="35"/>
    </row>
    <row r="35" spans="1:11" ht="15" customHeight="1" x14ac:dyDescent="0.3">
      <c r="A35" s="17"/>
      <c r="B35" s="17"/>
      <c r="C35" s="17"/>
      <c r="D35" s="17"/>
      <c r="E35" s="17"/>
      <c r="F35" s="17"/>
      <c r="G35" s="17"/>
      <c r="H35" s="28">
        <f t="shared" si="3"/>
        <v>0</v>
      </c>
      <c r="I35" s="28">
        <f t="shared" si="4"/>
        <v>0</v>
      </c>
      <c r="J35" s="28">
        <f t="shared" si="5"/>
        <v>0</v>
      </c>
      <c r="K35" s="17"/>
    </row>
    <row r="36" spans="1:11" ht="15" customHeight="1" x14ac:dyDescent="0.3">
      <c r="A36" s="35"/>
      <c r="B36" s="35"/>
      <c r="C36" s="35"/>
      <c r="D36" s="35"/>
      <c r="E36" s="35"/>
      <c r="F36" s="35"/>
      <c r="G36" s="35"/>
      <c r="H36" s="41">
        <f t="shared" si="3"/>
        <v>0</v>
      </c>
      <c r="I36" s="41">
        <f t="shared" si="4"/>
        <v>0</v>
      </c>
      <c r="J36" s="41">
        <f t="shared" si="5"/>
        <v>0</v>
      </c>
      <c r="K36" s="35"/>
    </row>
    <row r="37" spans="1:11" ht="15" customHeight="1" x14ac:dyDescent="0.3">
      <c r="A37" s="17"/>
      <c r="B37" s="17"/>
      <c r="C37" s="17"/>
      <c r="D37" s="17"/>
      <c r="E37" s="17"/>
      <c r="F37" s="17"/>
      <c r="G37" s="17"/>
      <c r="H37" s="28">
        <f t="shared" si="3"/>
        <v>0</v>
      </c>
      <c r="I37" s="28">
        <f t="shared" si="4"/>
        <v>0</v>
      </c>
      <c r="J37" s="28">
        <f t="shared" si="5"/>
        <v>0</v>
      </c>
      <c r="K37" s="17"/>
    </row>
    <row r="38" spans="1:11" ht="15" customHeight="1" x14ac:dyDescent="0.3">
      <c r="A38" s="35"/>
      <c r="B38" s="35"/>
      <c r="C38" s="35"/>
      <c r="D38" s="35"/>
      <c r="E38" s="35"/>
      <c r="F38" s="35"/>
      <c r="G38" s="35"/>
      <c r="H38" s="41">
        <f t="shared" si="3"/>
        <v>0</v>
      </c>
      <c r="I38" s="41">
        <f t="shared" si="4"/>
        <v>0</v>
      </c>
      <c r="J38" s="41">
        <f t="shared" si="5"/>
        <v>0</v>
      </c>
      <c r="K38" s="35"/>
    </row>
    <row r="39" spans="1:11" ht="15" customHeight="1" x14ac:dyDescent="0.3">
      <c r="A39" s="17"/>
      <c r="B39" s="17"/>
      <c r="C39" s="17"/>
      <c r="D39" s="17"/>
      <c r="E39" s="17"/>
      <c r="F39" s="17"/>
      <c r="G39" s="17"/>
      <c r="H39" s="28">
        <f t="shared" si="3"/>
        <v>0</v>
      </c>
      <c r="I39" s="28">
        <f t="shared" si="4"/>
        <v>0</v>
      </c>
      <c r="J39" s="28">
        <f t="shared" si="5"/>
        <v>0</v>
      </c>
      <c r="K39" s="17"/>
    </row>
    <row r="40" spans="1:11" ht="15" customHeight="1" x14ac:dyDescent="0.3">
      <c r="A40" s="35"/>
      <c r="B40" s="35"/>
      <c r="C40" s="35"/>
      <c r="D40" s="35"/>
      <c r="E40" s="35"/>
      <c r="F40" s="35"/>
      <c r="G40" s="35"/>
      <c r="H40" s="41">
        <f t="shared" si="3"/>
        <v>0</v>
      </c>
      <c r="I40" s="41">
        <f t="shared" si="4"/>
        <v>0</v>
      </c>
      <c r="J40" s="41">
        <f t="shared" si="5"/>
        <v>0</v>
      </c>
      <c r="K40" s="35"/>
    </row>
    <row r="41" spans="1:11" ht="15" customHeight="1" x14ac:dyDescent="0.3">
      <c r="A41" s="17"/>
      <c r="B41" s="17"/>
      <c r="C41" s="17"/>
      <c r="D41" s="17"/>
      <c r="E41" s="17"/>
      <c r="F41" s="17"/>
      <c r="G41" s="17"/>
      <c r="H41" s="28">
        <f t="shared" si="3"/>
        <v>0</v>
      </c>
      <c r="I41" s="28">
        <f t="shared" si="4"/>
        <v>0</v>
      </c>
      <c r="J41" s="28">
        <f t="shared" si="5"/>
        <v>0</v>
      </c>
      <c r="K41" s="17"/>
    </row>
    <row r="42" spans="1:11" ht="15" customHeight="1" x14ac:dyDescent="0.3">
      <c r="A42" s="35"/>
      <c r="B42" s="35"/>
      <c r="C42" s="35"/>
      <c r="D42" s="35"/>
      <c r="E42" s="35"/>
      <c r="F42" s="35"/>
      <c r="G42" s="35"/>
      <c r="H42" s="41">
        <f t="shared" si="3"/>
        <v>0</v>
      </c>
      <c r="I42" s="41">
        <f t="shared" si="4"/>
        <v>0</v>
      </c>
      <c r="J42" s="41">
        <f t="shared" si="5"/>
        <v>0</v>
      </c>
      <c r="K42" s="35"/>
    </row>
    <row r="43" spans="1:11" ht="15" customHeight="1" x14ac:dyDescent="0.3">
      <c r="A43" s="17"/>
      <c r="B43" s="17"/>
      <c r="C43" s="17"/>
      <c r="D43" s="17"/>
      <c r="E43" s="17"/>
      <c r="F43" s="17"/>
      <c r="G43" s="17"/>
      <c r="H43" s="28">
        <f t="shared" si="3"/>
        <v>0</v>
      </c>
      <c r="I43" s="28">
        <f t="shared" si="4"/>
        <v>0</v>
      </c>
      <c r="J43" s="28">
        <f t="shared" si="5"/>
        <v>0</v>
      </c>
      <c r="K43" s="17"/>
    </row>
    <row r="44" spans="1:11" ht="15" customHeight="1" x14ac:dyDescent="0.3">
      <c r="A44" s="35"/>
      <c r="B44" s="35"/>
      <c r="C44" s="35"/>
      <c r="D44" s="35"/>
      <c r="E44" s="35"/>
      <c r="F44" s="35"/>
      <c r="G44" s="35"/>
      <c r="H44" s="41">
        <f t="shared" ref="H44:H75" si="6">IFERROR(E44*G44,"")</f>
        <v>0</v>
      </c>
      <c r="I44" s="41">
        <f t="shared" ref="I44:I75" si="7">IFERROR(F44*G44*1.5,"")</f>
        <v>0</v>
      </c>
      <c r="J44" s="41">
        <f t="shared" ref="J44:J75" si="8">IFERROR(H44+I44,"")</f>
        <v>0</v>
      </c>
      <c r="K44" s="35"/>
    </row>
    <row r="45" spans="1:11" ht="15" customHeight="1" x14ac:dyDescent="0.3">
      <c r="A45" s="17"/>
      <c r="B45" s="17"/>
      <c r="C45" s="17"/>
      <c r="D45" s="17"/>
      <c r="E45" s="17"/>
      <c r="F45" s="17"/>
      <c r="G45" s="17"/>
      <c r="H45" s="28">
        <f t="shared" si="6"/>
        <v>0</v>
      </c>
      <c r="I45" s="28">
        <f t="shared" si="7"/>
        <v>0</v>
      </c>
      <c r="J45" s="28">
        <f t="shared" si="8"/>
        <v>0</v>
      </c>
      <c r="K45" s="17"/>
    </row>
    <row r="46" spans="1:11" ht="15" customHeight="1" x14ac:dyDescent="0.3">
      <c r="A46" s="35"/>
      <c r="B46" s="35"/>
      <c r="C46" s="35"/>
      <c r="D46" s="35"/>
      <c r="E46" s="35"/>
      <c r="F46" s="35"/>
      <c r="G46" s="35"/>
      <c r="H46" s="41">
        <f t="shared" si="6"/>
        <v>0</v>
      </c>
      <c r="I46" s="41">
        <f t="shared" si="7"/>
        <v>0</v>
      </c>
      <c r="J46" s="41">
        <f t="shared" si="8"/>
        <v>0</v>
      </c>
      <c r="K46" s="35"/>
    </row>
    <row r="47" spans="1:11" ht="15" customHeight="1" x14ac:dyDescent="0.3">
      <c r="A47" s="17"/>
      <c r="B47" s="17"/>
      <c r="C47" s="17"/>
      <c r="D47" s="17"/>
      <c r="E47" s="17"/>
      <c r="F47" s="17"/>
      <c r="G47" s="17"/>
      <c r="H47" s="28">
        <f t="shared" si="6"/>
        <v>0</v>
      </c>
      <c r="I47" s="28">
        <f t="shared" si="7"/>
        <v>0</v>
      </c>
      <c r="J47" s="28">
        <f t="shared" si="8"/>
        <v>0</v>
      </c>
      <c r="K47" s="17"/>
    </row>
    <row r="48" spans="1:11" ht="15" customHeight="1" x14ac:dyDescent="0.3">
      <c r="A48" s="35"/>
      <c r="B48" s="35"/>
      <c r="C48" s="35"/>
      <c r="D48" s="35"/>
      <c r="E48" s="35"/>
      <c r="F48" s="35"/>
      <c r="G48" s="35"/>
      <c r="H48" s="41">
        <f t="shared" si="6"/>
        <v>0</v>
      </c>
      <c r="I48" s="41">
        <f t="shared" si="7"/>
        <v>0</v>
      </c>
      <c r="J48" s="41">
        <f t="shared" si="8"/>
        <v>0</v>
      </c>
      <c r="K48" s="35"/>
    </row>
    <row r="49" spans="1:11" ht="15" customHeight="1" x14ac:dyDescent="0.3">
      <c r="A49" s="17"/>
      <c r="B49" s="17"/>
      <c r="C49" s="17"/>
      <c r="D49" s="17"/>
      <c r="E49" s="17"/>
      <c r="F49" s="17"/>
      <c r="G49" s="17"/>
      <c r="H49" s="28">
        <f t="shared" si="6"/>
        <v>0</v>
      </c>
      <c r="I49" s="28">
        <f t="shared" si="7"/>
        <v>0</v>
      </c>
      <c r="J49" s="28">
        <f t="shared" si="8"/>
        <v>0</v>
      </c>
      <c r="K49" s="17"/>
    </row>
    <row r="50" spans="1:11" ht="15" customHeight="1" x14ac:dyDescent="0.3">
      <c r="A50" s="35"/>
      <c r="B50" s="35"/>
      <c r="C50" s="35"/>
      <c r="D50" s="35"/>
      <c r="E50" s="35"/>
      <c r="F50" s="35"/>
      <c r="G50" s="35"/>
      <c r="H50" s="41">
        <f t="shared" si="6"/>
        <v>0</v>
      </c>
      <c r="I50" s="41">
        <f t="shared" si="7"/>
        <v>0</v>
      </c>
      <c r="J50" s="41">
        <f t="shared" si="8"/>
        <v>0</v>
      </c>
      <c r="K50" s="35"/>
    </row>
    <row r="51" spans="1:11" ht="15" customHeight="1" x14ac:dyDescent="0.3">
      <c r="A51" s="17"/>
      <c r="B51" s="17"/>
      <c r="C51" s="17"/>
      <c r="D51" s="17"/>
      <c r="E51" s="17"/>
      <c r="F51" s="17"/>
      <c r="G51" s="17"/>
      <c r="H51" s="28">
        <f t="shared" si="6"/>
        <v>0</v>
      </c>
      <c r="I51" s="28">
        <f t="shared" si="7"/>
        <v>0</v>
      </c>
      <c r="J51" s="28">
        <f t="shared" si="8"/>
        <v>0</v>
      </c>
      <c r="K51" s="17"/>
    </row>
    <row r="52" spans="1:11" ht="15" customHeight="1" x14ac:dyDescent="0.3">
      <c r="A52" s="35"/>
      <c r="B52" s="35"/>
      <c r="C52" s="35"/>
      <c r="D52" s="35"/>
      <c r="E52" s="35"/>
      <c r="F52" s="35"/>
      <c r="G52" s="35"/>
      <c r="H52" s="41">
        <f t="shared" si="6"/>
        <v>0</v>
      </c>
      <c r="I52" s="41">
        <f t="shared" si="7"/>
        <v>0</v>
      </c>
      <c r="J52" s="41">
        <f t="shared" si="8"/>
        <v>0</v>
      </c>
      <c r="K52" s="35"/>
    </row>
    <row r="53" spans="1:11" ht="15" customHeight="1" x14ac:dyDescent="0.3">
      <c r="A53" s="17"/>
      <c r="B53" s="17"/>
      <c r="C53" s="17"/>
      <c r="D53" s="17"/>
      <c r="E53" s="17"/>
      <c r="F53" s="17"/>
      <c r="G53" s="17"/>
      <c r="H53" s="28">
        <f t="shared" si="6"/>
        <v>0</v>
      </c>
      <c r="I53" s="28">
        <f t="shared" si="7"/>
        <v>0</v>
      </c>
      <c r="J53" s="28">
        <f t="shared" si="8"/>
        <v>0</v>
      </c>
      <c r="K53" s="17"/>
    </row>
    <row r="54" spans="1:11" ht="15" customHeight="1" x14ac:dyDescent="0.3">
      <c r="A54" s="35"/>
      <c r="B54" s="35"/>
      <c r="C54" s="35"/>
      <c r="D54" s="35"/>
      <c r="E54" s="35"/>
      <c r="F54" s="35"/>
      <c r="G54" s="35"/>
      <c r="H54" s="41">
        <f t="shared" si="6"/>
        <v>0</v>
      </c>
      <c r="I54" s="41">
        <f t="shared" si="7"/>
        <v>0</v>
      </c>
      <c r="J54" s="41">
        <f t="shared" si="8"/>
        <v>0</v>
      </c>
      <c r="K54" s="35"/>
    </row>
    <row r="55" spans="1:11" ht="15" customHeight="1" x14ac:dyDescent="0.3">
      <c r="A55" s="17"/>
      <c r="B55" s="17"/>
      <c r="C55" s="17"/>
      <c r="D55" s="17"/>
      <c r="E55" s="17"/>
      <c r="F55" s="17"/>
      <c r="G55" s="17"/>
      <c r="H55" s="28">
        <f t="shared" si="6"/>
        <v>0</v>
      </c>
      <c r="I55" s="28">
        <f t="shared" si="7"/>
        <v>0</v>
      </c>
      <c r="J55" s="28">
        <f t="shared" si="8"/>
        <v>0</v>
      </c>
      <c r="K55" s="17"/>
    </row>
    <row r="56" spans="1:11" ht="15" customHeight="1" x14ac:dyDescent="0.3">
      <c r="A56" s="35"/>
      <c r="B56" s="35"/>
      <c r="C56" s="35"/>
      <c r="D56" s="35"/>
      <c r="E56" s="35"/>
      <c r="F56" s="35"/>
      <c r="G56" s="35"/>
      <c r="H56" s="41">
        <f t="shared" si="6"/>
        <v>0</v>
      </c>
      <c r="I56" s="41">
        <f t="shared" si="7"/>
        <v>0</v>
      </c>
      <c r="J56" s="41">
        <f t="shared" si="8"/>
        <v>0</v>
      </c>
      <c r="K56" s="35"/>
    </row>
    <row r="57" spans="1:11" ht="15" customHeight="1" x14ac:dyDescent="0.3">
      <c r="A57" s="17"/>
      <c r="B57" s="17"/>
      <c r="C57" s="17"/>
      <c r="D57" s="17"/>
      <c r="E57" s="17"/>
      <c r="F57" s="17"/>
      <c r="G57" s="17"/>
      <c r="H57" s="28">
        <f t="shared" si="6"/>
        <v>0</v>
      </c>
      <c r="I57" s="28">
        <f t="shared" si="7"/>
        <v>0</v>
      </c>
      <c r="J57" s="28">
        <f t="shared" si="8"/>
        <v>0</v>
      </c>
      <c r="K57" s="17"/>
    </row>
    <row r="58" spans="1:11" ht="15" customHeight="1" x14ac:dyDescent="0.3">
      <c r="A58" s="35"/>
      <c r="B58" s="35"/>
      <c r="C58" s="35"/>
      <c r="D58" s="35"/>
      <c r="E58" s="35"/>
      <c r="F58" s="35"/>
      <c r="G58" s="35"/>
      <c r="H58" s="41">
        <f t="shared" si="6"/>
        <v>0</v>
      </c>
      <c r="I58" s="41">
        <f t="shared" si="7"/>
        <v>0</v>
      </c>
      <c r="J58" s="41">
        <f t="shared" si="8"/>
        <v>0</v>
      </c>
      <c r="K58" s="35"/>
    </row>
    <row r="59" spans="1:11" ht="15" customHeight="1" x14ac:dyDescent="0.3">
      <c r="A59" s="17"/>
      <c r="B59" s="17"/>
      <c r="C59" s="17"/>
      <c r="D59" s="17"/>
      <c r="E59" s="17"/>
      <c r="F59" s="17"/>
      <c r="G59" s="17"/>
      <c r="H59" s="28">
        <f t="shared" si="6"/>
        <v>0</v>
      </c>
      <c r="I59" s="28">
        <f t="shared" si="7"/>
        <v>0</v>
      </c>
      <c r="J59" s="28">
        <f t="shared" si="8"/>
        <v>0</v>
      </c>
      <c r="K59" s="17"/>
    </row>
    <row r="60" spans="1:11" ht="15" customHeight="1" x14ac:dyDescent="0.3">
      <c r="A60" s="35"/>
      <c r="B60" s="35"/>
      <c r="C60" s="35"/>
      <c r="D60" s="35"/>
      <c r="E60" s="35"/>
      <c r="F60" s="35"/>
      <c r="G60" s="35"/>
      <c r="H60" s="41">
        <f t="shared" si="6"/>
        <v>0</v>
      </c>
      <c r="I60" s="41">
        <f t="shared" si="7"/>
        <v>0</v>
      </c>
      <c r="J60" s="41">
        <f t="shared" si="8"/>
        <v>0</v>
      </c>
      <c r="K60" s="35"/>
    </row>
    <row r="61" spans="1:11" ht="15" customHeight="1" x14ac:dyDescent="0.3">
      <c r="A61" s="17"/>
      <c r="B61" s="17"/>
      <c r="C61" s="17"/>
      <c r="D61" s="17"/>
      <c r="E61" s="17"/>
      <c r="F61" s="17"/>
      <c r="G61" s="17"/>
      <c r="H61" s="28">
        <f t="shared" si="6"/>
        <v>0</v>
      </c>
      <c r="I61" s="28">
        <f t="shared" si="7"/>
        <v>0</v>
      </c>
      <c r="J61" s="28">
        <f t="shared" si="8"/>
        <v>0</v>
      </c>
      <c r="K61" s="17"/>
    </row>
    <row r="62" spans="1:11" ht="15" customHeight="1" x14ac:dyDescent="0.3">
      <c r="A62" s="35"/>
      <c r="B62" s="35"/>
      <c r="C62" s="35"/>
      <c r="D62" s="35"/>
      <c r="E62" s="35"/>
      <c r="F62" s="35"/>
      <c r="G62" s="35"/>
      <c r="H62" s="41">
        <f t="shared" si="6"/>
        <v>0</v>
      </c>
      <c r="I62" s="41">
        <f t="shared" si="7"/>
        <v>0</v>
      </c>
      <c r="J62" s="41">
        <f t="shared" si="8"/>
        <v>0</v>
      </c>
      <c r="K62" s="35"/>
    </row>
    <row r="63" spans="1:11" ht="15" customHeight="1" x14ac:dyDescent="0.3">
      <c r="A63" s="17"/>
      <c r="B63" s="17"/>
      <c r="C63" s="17"/>
      <c r="D63" s="17"/>
      <c r="E63" s="17"/>
      <c r="F63" s="17"/>
      <c r="G63" s="17"/>
      <c r="H63" s="28">
        <f t="shared" si="6"/>
        <v>0</v>
      </c>
      <c r="I63" s="28">
        <f t="shared" si="7"/>
        <v>0</v>
      </c>
      <c r="J63" s="28">
        <f t="shared" si="8"/>
        <v>0</v>
      </c>
      <c r="K63" s="17"/>
    </row>
    <row r="64" spans="1:11" ht="15" customHeight="1" x14ac:dyDescent="0.3">
      <c r="A64" s="35"/>
      <c r="B64" s="35"/>
      <c r="C64" s="35"/>
      <c r="D64" s="35"/>
      <c r="E64" s="35"/>
      <c r="F64" s="35"/>
      <c r="G64" s="35"/>
      <c r="H64" s="41">
        <f t="shared" si="6"/>
        <v>0</v>
      </c>
      <c r="I64" s="41">
        <f t="shared" si="7"/>
        <v>0</v>
      </c>
      <c r="J64" s="41">
        <f t="shared" si="8"/>
        <v>0</v>
      </c>
      <c r="K64" s="35"/>
    </row>
    <row r="65" spans="1:11" ht="15" customHeight="1" x14ac:dyDescent="0.3">
      <c r="A65" s="17"/>
      <c r="B65" s="17"/>
      <c r="C65" s="17"/>
      <c r="D65" s="17"/>
      <c r="E65" s="17"/>
      <c r="F65" s="17"/>
      <c r="G65" s="17"/>
      <c r="H65" s="28">
        <f t="shared" si="6"/>
        <v>0</v>
      </c>
      <c r="I65" s="28">
        <f t="shared" si="7"/>
        <v>0</v>
      </c>
      <c r="J65" s="28">
        <f t="shared" si="8"/>
        <v>0</v>
      </c>
      <c r="K65" s="17"/>
    </row>
    <row r="66" spans="1:11" ht="15" customHeight="1" x14ac:dyDescent="0.3">
      <c r="A66" s="35"/>
      <c r="B66" s="35"/>
      <c r="C66" s="35"/>
      <c r="D66" s="35"/>
      <c r="E66" s="35"/>
      <c r="F66" s="35"/>
      <c r="G66" s="35"/>
      <c r="H66" s="41">
        <f t="shared" si="6"/>
        <v>0</v>
      </c>
      <c r="I66" s="41">
        <f t="shared" si="7"/>
        <v>0</v>
      </c>
      <c r="J66" s="41">
        <f t="shared" si="8"/>
        <v>0</v>
      </c>
      <c r="K66" s="35"/>
    </row>
    <row r="67" spans="1:11" ht="15" customHeight="1" x14ac:dyDescent="0.3">
      <c r="A67" s="17"/>
      <c r="B67" s="17"/>
      <c r="C67" s="17"/>
      <c r="D67" s="17"/>
      <c r="E67" s="17"/>
      <c r="F67" s="17"/>
      <c r="G67" s="17"/>
      <c r="H67" s="28">
        <f t="shared" si="6"/>
        <v>0</v>
      </c>
      <c r="I67" s="28">
        <f t="shared" si="7"/>
        <v>0</v>
      </c>
      <c r="J67" s="28">
        <f t="shared" si="8"/>
        <v>0</v>
      </c>
      <c r="K67" s="17"/>
    </row>
    <row r="68" spans="1:11" ht="15" customHeight="1" x14ac:dyDescent="0.3">
      <c r="A68" s="35"/>
      <c r="B68" s="35"/>
      <c r="C68" s="35"/>
      <c r="D68" s="35"/>
      <c r="E68" s="35"/>
      <c r="F68" s="35"/>
      <c r="G68" s="35"/>
      <c r="H68" s="41">
        <f t="shared" si="6"/>
        <v>0</v>
      </c>
      <c r="I68" s="41">
        <f t="shared" si="7"/>
        <v>0</v>
      </c>
      <c r="J68" s="41">
        <f t="shared" si="8"/>
        <v>0</v>
      </c>
      <c r="K68" s="35"/>
    </row>
    <row r="69" spans="1:11" ht="15" customHeight="1" x14ac:dyDescent="0.3">
      <c r="A69" s="17"/>
      <c r="B69" s="17"/>
      <c r="C69" s="17"/>
      <c r="D69" s="17"/>
      <c r="E69" s="17"/>
      <c r="F69" s="17"/>
      <c r="G69" s="17"/>
      <c r="H69" s="28">
        <f t="shared" si="6"/>
        <v>0</v>
      </c>
      <c r="I69" s="28">
        <f t="shared" si="7"/>
        <v>0</v>
      </c>
      <c r="J69" s="28">
        <f t="shared" si="8"/>
        <v>0</v>
      </c>
      <c r="K69" s="17"/>
    </row>
    <row r="70" spans="1:11" ht="15" customHeight="1" x14ac:dyDescent="0.3">
      <c r="A70" s="35"/>
      <c r="B70" s="35"/>
      <c r="C70" s="35"/>
      <c r="D70" s="35"/>
      <c r="E70" s="35"/>
      <c r="F70" s="35"/>
      <c r="G70" s="35"/>
      <c r="H70" s="41">
        <f t="shared" si="6"/>
        <v>0</v>
      </c>
      <c r="I70" s="41">
        <f t="shared" si="7"/>
        <v>0</v>
      </c>
      <c r="J70" s="41">
        <f t="shared" si="8"/>
        <v>0</v>
      </c>
      <c r="K70" s="35"/>
    </row>
    <row r="71" spans="1:11" ht="15" customHeight="1" x14ac:dyDescent="0.3">
      <c r="A71" s="17"/>
      <c r="B71" s="17"/>
      <c r="C71" s="17"/>
      <c r="D71" s="17"/>
      <c r="E71" s="17"/>
      <c r="F71" s="17"/>
      <c r="G71" s="17"/>
      <c r="H71" s="28">
        <f t="shared" si="6"/>
        <v>0</v>
      </c>
      <c r="I71" s="28">
        <f t="shared" si="7"/>
        <v>0</v>
      </c>
      <c r="J71" s="28">
        <f t="shared" si="8"/>
        <v>0</v>
      </c>
      <c r="K71" s="17"/>
    </row>
    <row r="72" spans="1:11" ht="15" customHeight="1" x14ac:dyDescent="0.3">
      <c r="A72" s="35"/>
      <c r="B72" s="35"/>
      <c r="C72" s="35"/>
      <c r="D72" s="35"/>
      <c r="E72" s="35"/>
      <c r="F72" s="35"/>
      <c r="G72" s="35"/>
      <c r="H72" s="41">
        <f t="shared" si="6"/>
        <v>0</v>
      </c>
      <c r="I72" s="41">
        <f t="shared" si="7"/>
        <v>0</v>
      </c>
      <c r="J72" s="41">
        <f t="shared" si="8"/>
        <v>0</v>
      </c>
      <c r="K72" s="35"/>
    </row>
    <row r="73" spans="1:11" ht="15" customHeight="1" x14ac:dyDescent="0.3">
      <c r="A73" s="17"/>
      <c r="B73" s="17"/>
      <c r="C73" s="17"/>
      <c r="D73" s="17"/>
      <c r="E73" s="17"/>
      <c r="F73" s="17"/>
      <c r="G73" s="17"/>
      <c r="H73" s="28">
        <f t="shared" si="6"/>
        <v>0</v>
      </c>
      <c r="I73" s="28">
        <f t="shared" si="7"/>
        <v>0</v>
      </c>
      <c r="J73" s="28">
        <f t="shared" si="8"/>
        <v>0</v>
      </c>
      <c r="K73" s="17"/>
    </row>
    <row r="74" spans="1:11" ht="15" customHeight="1" x14ac:dyDescent="0.3">
      <c r="A74" s="35"/>
      <c r="B74" s="35"/>
      <c r="C74" s="35"/>
      <c r="D74" s="35"/>
      <c r="E74" s="35"/>
      <c r="F74" s="35"/>
      <c r="G74" s="35"/>
      <c r="H74" s="41">
        <f t="shared" si="6"/>
        <v>0</v>
      </c>
      <c r="I74" s="41">
        <f t="shared" si="7"/>
        <v>0</v>
      </c>
      <c r="J74" s="41">
        <f t="shared" si="8"/>
        <v>0</v>
      </c>
      <c r="K74" s="35"/>
    </row>
    <row r="75" spans="1:11" ht="15" customHeight="1" x14ac:dyDescent="0.3">
      <c r="A75" s="17"/>
      <c r="B75" s="17"/>
      <c r="C75" s="17"/>
      <c r="D75" s="17"/>
      <c r="E75" s="17"/>
      <c r="F75" s="17"/>
      <c r="G75" s="17"/>
      <c r="H75" s="28">
        <f t="shared" si="6"/>
        <v>0</v>
      </c>
      <c r="I75" s="28">
        <f t="shared" si="7"/>
        <v>0</v>
      </c>
      <c r="J75" s="28">
        <f t="shared" si="8"/>
        <v>0</v>
      </c>
      <c r="K75" s="17"/>
    </row>
    <row r="76" spans="1:11" ht="15" customHeight="1" x14ac:dyDescent="0.3">
      <c r="A76" s="35"/>
      <c r="B76" s="35"/>
      <c r="C76" s="35"/>
      <c r="D76" s="35"/>
      <c r="E76" s="35"/>
      <c r="F76" s="35"/>
      <c r="G76" s="35"/>
      <c r="H76" s="41">
        <f t="shared" ref="H76:H107" si="9">IFERROR(E76*G76,"")</f>
        <v>0</v>
      </c>
      <c r="I76" s="41">
        <f t="shared" ref="I76:I107" si="10">IFERROR(F76*G76*1.5,"")</f>
        <v>0</v>
      </c>
      <c r="J76" s="41">
        <f t="shared" ref="J76:J107" si="11">IFERROR(H76+I76,"")</f>
        <v>0</v>
      </c>
      <c r="K76" s="35"/>
    </row>
    <row r="77" spans="1:11" ht="15" customHeight="1" x14ac:dyDescent="0.3">
      <c r="A77" s="17"/>
      <c r="B77" s="17"/>
      <c r="C77" s="17"/>
      <c r="D77" s="17"/>
      <c r="E77" s="17"/>
      <c r="F77" s="17"/>
      <c r="G77" s="17"/>
      <c r="H77" s="28">
        <f t="shared" si="9"/>
        <v>0</v>
      </c>
      <c r="I77" s="28">
        <f t="shared" si="10"/>
        <v>0</v>
      </c>
      <c r="J77" s="28">
        <f t="shared" si="11"/>
        <v>0</v>
      </c>
      <c r="K77" s="17"/>
    </row>
    <row r="78" spans="1:11" ht="15" customHeight="1" x14ac:dyDescent="0.3">
      <c r="A78" s="35"/>
      <c r="B78" s="35"/>
      <c r="C78" s="35"/>
      <c r="D78" s="35"/>
      <c r="E78" s="35"/>
      <c r="F78" s="35"/>
      <c r="G78" s="35"/>
      <c r="H78" s="41">
        <f t="shared" si="9"/>
        <v>0</v>
      </c>
      <c r="I78" s="41">
        <f t="shared" si="10"/>
        <v>0</v>
      </c>
      <c r="J78" s="41">
        <f t="shared" si="11"/>
        <v>0</v>
      </c>
      <c r="K78" s="35"/>
    </row>
    <row r="79" spans="1:11" ht="15" customHeight="1" x14ac:dyDescent="0.3">
      <c r="A79" s="17"/>
      <c r="B79" s="17"/>
      <c r="C79" s="17"/>
      <c r="D79" s="17"/>
      <c r="E79" s="17"/>
      <c r="F79" s="17"/>
      <c r="G79" s="17"/>
      <c r="H79" s="28">
        <f t="shared" si="9"/>
        <v>0</v>
      </c>
      <c r="I79" s="28">
        <f t="shared" si="10"/>
        <v>0</v>
      </c>
      <c r="J79" s="28">
        <f t="shared" si="11"/>
        <v>0</v>
      </c>
      <c r="K79" s="17"/>
    </row>
    <row r="80" spans="1:11" ht="15" customHeight="1" x14ac:dyDescent="0.3">
      <c r="A80" s="35"/>
      <c r="B80" s="35"/>
      <c r="C80" s="35"/>
      <c r="D80" s="35"/>
      <c r="E80" s="35"/>
      <c r="F80" s="35"/>
      <c r="G80" s="35"/>
      <c r="H80" s="41">
        <f t="shared" si="9"/>
        <v>0</v>
      </c>
      <c r="I80" s="41">
        <f t="shared" si="10"/>
        <v>0</v>
      </c>
      <c r="J80" s="41">
        <f t="shared" si="11"/>
        <v>0</v>
      </c>
      <c r="K80" s="35"/>
    </row>
    <row r="81" spans="1:11" ht="15" customHeight="1" x14ac:dyDescent="0.3">
      <c r="A81" s="17"/>
      <c r="B81" s="17"/>
      <c r="C81" s="17"/>
      <c r="D81" s="17"/>
      <c r="E81" s="17"/>
      <c r="F81" s="17"/>
      <c r="G81" s="17"/>
      <c r="H81" s="28">
        <f t="shared" si="9"/>
        <v>0</v>
      </c>
      <c r="I81" s="28">
        <f t="shared" si="10"/>
        <v>0</v>
      </c>
      <c r="J81" s="28">
        <f t="shared" si="11"/>
        <v>0</v>
      </c>
      <c r="K81" s="17"/>
    </row>
    <row r="82" spans="1:11" ht="15" customHeight="1" x14ac:dyDescent="0.3">
      <c r="A82" s="35"/>
      <c r="B82" s="35"/>
      <c r="C82" s="35"/>
      <c r="D82" s="35"/>
      <c r="E82" s="35"/>
      <c r="F82" s="35"/>
      <c r="G82" s="35"/>
      <c r="H82" s="41">
        <f t="shared" si="9"/>
        <v>0</v>
      </c>
      <c r="I82" s="41">
        <f t="shared" si="10"/>
        <v>0</v>
      </c>
      <c r="J82" s="41">
        <f t="shared" si="11"/>
        <v>0</v>
      </c>
      <c r="K82" s="35"/>
    </row>
    <row r="83" spans="1:11" ht="15" customHeight="1" x14ac:dyDescent="0.3">
      <c r="A83" s="17"/>
      <c r="B83" s="17"/>
      <c r="C83" s="17"/>
      <c r="D83" s="17"/>
      <c r="E83" s="17"/>
      <c r="F83" s="17"/>
      <c r="G83" s="17"/>
      <c r="H83" s="28">
        <f t="shared" si="9"/>
        <v>0</v>
      </c>
      <c r="I83" s="28">
        <f t="shared" si="10"/>
        <v>0</v>
      </c>
      <c r="J83" s="28">
        <f t="shared" si="11"/>
        <v>0</v>
      </c>
      <c r="K83" s="17"/>
    </row>
    <row r="84" spans="1:11" ht="15" customHeight="1" x14ac:dyDescent="0.3">
      <c r="A84" s="35"/>
      <c r="B84" s="35"/>
      <c r="C84" s="35"/>
      <c r="D84" s="35"/>
      <c r="E84" s="35"/>
      <c r="F84" s="35"/>
      <c r="G84" s="35"/>
      <c r="H84" s="41">
        <f t="shared" si="9"/>
        <v>0</v>
      </c>
      <c r="I84" s="41">
        <f t="shared" si="10"/>
        <v>0</v>
      </c>
      <c r="J84" s="41">
        <f t="shared" si="11"/>
        <v>0</v>
      </c>
      <c r="K84" s="35"/>
    </row>
    <row r="85" spans="1:11" ht="15" customHeight="1" x14ac:dyDescent="0.3">
      <c r="A85" s="17"/>
      <c r="B85" s="17"/>
      <c r="C85" s="17"/>
      <c r="D85" s="17"/>
      <c r="E85" s="17"/>
      <c r="F85" s="17"/>
      <c r="G85" s="17"/>
      <c r="H85" s="28">
        <f t="shared" si="9"/>
        <v>0</v>
      </c>
      <c r="I85" s="28">
        <f t="shared" si="10"/>
        <v>0</v>
      </c>
      <c r="J85" s="28">
        <f t="shared" si="11"/>
        <v>0</v>
      </c>
      <c r="K85" s="17"/>
    </row>
    <row r="86" spans="1:11" ht="15" customHeight="1" x14ac:dyDescent="0.3">
      <c r="A86" s="35"/>
      <c r="B86" s="35"/>
      <c r="C86" s="35"/>
      <c r="D86" s="35"/>
      <c r="E86" s="35"/>
      <c r="F86" s="35"/>
      <c r="G86" s="35"/>
      <c r="H86" s="41">
        <f t="shared" si="9"/>
        <v>0</v>
      </c>
      <c r="I86" s="41">
        <f t="shared" si="10"/>
        <v>0</v>
      </c>
      <c r="J86" s="41">
        <f t="shared" si="11"/>
        <v>0</v>
      </c>
      <c r="K86" s="35"/>
    </row>
    <row r="87" spans="1:11" ht="15" customHeight="1" x14ac:dyDescent="0.3">
      <c r="A87" s="17"/>
      <c r="B87" s="17"/>
      <c r="C87" s="17"/>
      <c r="D87" s="17"/>
      <c r="E87" s="17"/>
      <c r="F87" s="17"/>
      <c r="G87" s="17"/>
      <c r="H87" s="28">
        <f t="shared" si="9"/>
        <v>0</v>
      </c>
      <c r="I87" s="28">
        <f t="shared" si="10"/>
        <v>0</v>
      </c>
      <c r="J87" s="28">
        <f t="shared" si="11"/>
        <v>0</v>
      </c>
      <c r="K87" s="17"/>
    </row>
    <row r="88" spans="1:11" ht="15" customHeight="1" x14ac:dyDescent="0.3">
      <c r="A88" s="35"/>
      <c r="B88" s="35"/>
      <c r="C88" s="35"/>
      <c r="D88" s="35"/>
      <c r="E88" s="35"/>
      <c r="F88" s="35"/>
      <c r="G88" s="35"/>
      <c r="H88" s="41">
        <f t="shared" si="9"/>
        <v>0</v>
      </c>
      <c r="I88" s="41">
        <f t="shared" si="10"/>
        <v>0</v>
      </c>
      <c r="J88" s="41">
        <f t="shared" si="11"/>
        <v>0</v>
      </c>
      <c r="K88" s="35"/>
    </row>
    <row r="89" spans="1:11" ht="15" customHeight="1" x14ac:dyDescent="0.3">
      <c r="A89" s="17"/>
      <c r="B89" s="17"/>
      <c r="C89" s="17"/>
      <c r="D89" s="17"/>
      <c r="E89" s="17"/>
      <c r="F89" s="17"/>
      <c r="G89" s="17"/>
      <c r="H89" s="28">
        <f t="shared" si="9"/>
        <v>0</v>
      </c>
      <c r="I89" s="28">
        <f t="shared" si="10"/>
        <v>0</v>
      </c>
      <c r="J89" s="28">
        <f t="shared" si="11"/>
        <v>0</v>
      </c>
      <c r="K89" s="17"/>
    </row>
    <row r="90" spans="1:11" ht="15" customHeight="1" x14ac:dyDescent="0.3">
      <c r="A90" s="35"/>
      <c r="B90" s="35"/>
      <c r="C90" s="35"/>
      <c r="D90" s="35"/>
      <c r="E90" s="35"/>
      <c r="F90" s="35"/>
      <c r="G90" s="35"/>
      <c r="H90" s="41">
        <f t="shared" si="9"/>
        <v>0</v>
      </c>
      <c r="I90" s="41">
        <f t="shared" si="10"/>
        <v>0</v>
      </c>
      <c r="J90" s="41">
        <f t="shared" si="11"/>
        <v>0</v>
      </c>
      <c r="K90" s="35"/>
    </row>
    <row r="91" spans="1:11" ht="15" customHeight="1" x14ac:dyDescent="0.3">
      <c r="A91" s="17"/>
      <c r="B91" s="17"/>
      <c r="C91" s="17"/>
      <c r="D91" s="17"/>
      <c r="E91" s="17"/>
      <c r="F91" s="17"/>
      <c r="G91" s="17"/>
      <c r="H91" s="28">
        <f t="shared" si="9"/>
        <v>0</v>
      </c>
      <c r="I91" s="28">
        <f t="shared" si="10"/>
        <v>0</v>
      </c>
      <c r="J91" s="28">
        <f t="shared" si="11"/>
        <v>0</v>
      </c>
      <c r="K91" s="17"/>
    </row>
    <row r="92" spans="1:11" ht="15" customHeight="1" x14ac:dyDescent="0.3">
      <c r="A92" s="35"/>
      <c r="B92" s="35"/>
      <c r="C92" s="35"/>
      <c r="D92" s="35"/>
      <c r="E92" s="35"/>
      <c r="F92" s="35"/>
      <c r="G92" s="35"/>
      <c r="H92" s="41">
        <f t="shared" si="9"/>
        <v>0</v>
      </c>
      <c r="I92" s="41">
        <f t="shared" si="10"/>
        <v>0</v>
      </c>
      <c r="J92" s="41">
        <f t="shared" si="11"/>
        <v>0</v>
      </c>
      <c r="K92" s="35"/>
    </row>
    <row r="93" spans="1:11" ht="15" customHeight="1" x14ac:dyDescent="0.3">
      <c r="A93" s="17"/>
      <c r="B93" s="17"/>
      <c r="C93" s="17"/>
      <c r="D93" s="17"/>
      <c r="E93" s="17"/>
      <c r="F93" s="17"/>
      <c r="G93" s="17"/>
      <c r="H93" s="28">
        <f t="shared" si="9"/>
        <v>0</v>
      </c>
      <c r="I93" s="28">
        <f t="shared" si="10"/>
        <v>0</v>
      </c>
      <c r="J93" s="28">
        <f t="shared" si="11"/>
        <v>0</v>
      </c>
      <c r="K93" s="17"/>
    </row>
    <row r="94" spans="1:11" ht="15" customHeight="1" x14ac:dyDescent="0.3">
      <c r="A94" s="35"/>
      <c r="B94" s="35"/>
      <c r="C94" s="35"/>
      <c r="D94" s="35"/>
      <c r="E94" s="35"/>
      <c r="F94" s="35"/>
      <c r="G94" s="35"/>
      <c r="H94" s="41">
        <f t="shared" si="9"/>
        <v>0</v>
      </c>
      <c r="I94" s="41">
        <f t="shared" si="10"/>
        <v>0</v>
      </c>
      <c r="J94" s="41">
        <f t="shared" si="11"/>
        <v>0</v>
      </c>
      <c r="K94" s="35"/>
    </row>
    <row r="95" spans="1:11" ht="15" customHeight="1" x14ac:dyDescent="0.3">
      <c r="A95" s="17"/>
      <c r="B95" s="17"/>
      <c r="C95" s="17"/>
      <c r="D95" s="17"/>
      <c r="E95" s="17"/>
      <c r="F95" s="17"/>
      <c r="G95" s="17"/>
      <c r="H95" s="28">
        <f t="shared" si="9"/>
        <v>0</v>
      </c>
      <c r="I95" s="28">
        <f t="shared" si="10"/>
        <v>0</v>
      </c>
      <c r="J95" s="28">
        <f t="shared" si="11"/>
        <v>0</v>
      </c>
      <c r="K95" s="17"/>
    </row>
    <row r="96" spans="1:11" ht="15" customHeight="1" x14ac:dyDescent="0.3">
      <c r="A96" s="35"/>
      <c r="B96" s="35"/>
      <c r="C96" s="35"/>
      <c r="D96" s="35"/>
      <c r="E96" s="35"/>
      <c r="F96" s="35"/>
      <c r="G96" s="35"/>
      <c r="H96" s="41">
        <f t="shared" si="9"/>
        <v>0</v>
      </c>
      <c r="I96" s="41">
        <f t="shared" si="10"/>
        <v>0</v>
      </c>
      <c r="J96" s="41">
        <f t="shared" si="11"/>
        <v>0</v>
      </c>
      <c r="K96" s="35"/>
    </row>
    <row r="97" spans="1:11" ht="15" customHeight="1" x14ac:dyDescent="0.3">
      <c r="A97" s="17"/>
      <c r="B97" s="17"/>
      <c r="C97" s="17"/>
      <c r="D97" s="17"/>
      <c r="E97" s="17"/>
      <c r="F97" s="17"/>
      <c r="G97" s="17"/>
      <c r="H97" s="28">
        <f t="shared" si="9"/>
        <v>0</v>
      </c>
      <c r="I97" s="28">
        <f t="shared" si="10"/>
        <v>0</v>
      </c>
      <c r="J97" s="28">
        <f t="shared" si="11"/>
        <v>0</v>
      </c>
      <c r="K97" s="17"/>
    </row>
    <row r="98" spans="1:11" ht="15" customHeight="1" x14ac:dyDescent="0.3">
      <c r="A98" s="35"/>
      <c r="B98" s="35"/>
      <c r="C98" s="35"/>
      <c r="D98" s="35"/>
      <c r="E98" s="35"/>
      <c r="F98" s="35"/>
      <c r="G98" s="35"/>
      <c r="H98" s="41">
        <f t="shared" si="9"/>
        <v>0</v>
      </c>
      <c r="I98" s="41">
        <f t="shared" si="10"/>
        <v>0</v>
      </c>
      <c r="J98" s="41">
        <f t="shared" si="11"/>
        <v>0</v>
      </c>
      <c r="K98" s="35"/>
    </row>
    <row r="99" spans="1:11" ht="15" customHeight="1" x14ac:dyDescent="0.3">
      <c r="A99" s="17"/>
      <c r="B99" s="17"/>
      <c r="C99" s="17"/>
      <c r="D99" s="17"/>
      <c r="E99" s="17"/>
      <c r="F99" s="17"/>
      <c r="G99" s="17"/>
      <c r="H99" s="28">
        <f t="shared" si="9"/>
        <v>0</v>
      </c>
      <c r="I99" s="28">
        <f t="shared" si="10"/>
        <v>0</v>
      </c>
      <c r="J99" s="28">
        <f t="shared" si="11"/>
        <v>0</v>
      </c>
      <c r="K99" s="17"/>
    </row>
    <row r="100" spans="1:11" ht="15" customHeight="1" x14ac:dyDescent="0.3">
      <c r="A100" s="35"/>
      <c r="B100" s="35"/>
      <c r="C100" s="35"/>
      <c r="D100" s="35"/>
      <c r="E100" s="35"/>
      <c r="F100" s="35"/>
      <c r="G100" s="35"/>
      <c r="H100" s="41">
        <f t="shared" si="9"/>
        <v>0</v>
      </c>
      <c r="I100" s="41">
        <f t="shared" si="10"/>
        <v>0</v>
      </c>
      <c r="J100" s="41">
        <f t="shared" si="11"/>
        <v>0</v>
      </c>
      <c r="K100" s="35"/>
    </row>
    <row r="101" spans="1:11" ht="15" customHeight="1" x14ac:dyDescent="0.3">
      <c r="A101" s="17"/>
      <c r="B101" s="17"/>
      <c r="C101" s="17"/>
      <c r="D101" s="17"/>
      <c r="E101" s="17"/>
      <c r="F101" s="17"/>
      <c r="G101" s="17"/>
      <c r="H101" s="28">
        <f t="shared" si="9"/>
        <v>0</v>
      </c>
      <c r="I101" s="28">
        <f t="shared" si="10"/>
        <v>0</v>
      </c>
      <c r="J101" s="28">
        <f t="shared" si="11"/>
        <v>0</v>
      </c>
      <c r="K101" s="17"/>
    </row>
    <row r="102" spans="1:11" ht="15" customHeight="1" x14ac:dyDescent="0.3">
      <c r="A102" s="35"/>
      <c r="B102" s="35"/>
      <c r="C102" s="35"/>
      <c r="D102" s="35"/>
      <c r="E102" s="35"/>
      <c r="F102" s="35"/>
      <c r="G102" s="35"/>
      <c r="H102" s="41">
        <f t="shared" si="9"/>
        <v>0</v>
      </c>
      <c r="I102" s="41">
        <f t="shared" si="10"/>
        <v>0</v>
      </c>
      <c r="J102" s="41">
        <f t="shared" si="11"/>
        <v>0</v>
      </c>
      <c r="K102" s="35"/>
    </row>
    <row r="103" spans="1:11" ht="15" customHeight="1" x14ac:dyDescent="0.3">
      <c r="A103" s="17"/>
      <c r="B103" s="17"/>
      <c r="C103" s="17"/>
      <c r="D103" s="17"/>
      <c r="E103" s="17"/>
      <c r="F103" s="17"/>
      <c r="G103" s="17"/>
      <c r="H103" s="28">
        <f t="shared" si="9"/>
        <v>0</v>
      </c>
      <c r="I103" s="28">
        <f t="shared" si="10"/>
        <v>0</v>
      </c>
      <c r="J103" s="28">
        <f t="shared" si="11"/>
        <v>0</v>
      </c>
      <c r="K103" s="17"/>
    </row>
    <row r="104" spans="1:11" ht="15" customHeight="1" x14ac:dyDescent="0.3">
      <c r="A104" s="35"/>
      <c r="B104" s="35"/>
      <c r="C104" s="35"/>
      <c r="D104" s="35"/>
      <c r="E104" s="35"/>
      <c r="F104" s="35"/>
      <c r="G104" s="35"/>
      <c r="H104" s="41">
        <f t="shared" si="9"/>
        <v>0</v>
      </c>
      <c r="I104" s="41">
        <f t="shared" si="10"/>
        <v>0</v>
      </c>
      <c r="J104" s="41">
        <f t="shared" si="11"/>
        <v>0</v>
      </c>
      <c r="K104" s="35"/>
    </row>
    <row r="105" spans="1:11" ht="15" customHeight="1" x14ac:dyDescent="0.3">
      <c r="A105" s="17"/>
      <c r="B105" s="17"/>
      <c r="C105" s="17"/>
      <c r="D105" s="17"/>
      <c r="E105" s="17"/>
      <c r="F105" s="17"/>
      <c r="G105" s="17"/>
      <c r="H105" s="28">
        <f t="shared" si="9"/>
        <v>0</v>
      </c>
      <c r="I105" s="28">
        <f t="shared" si="10"/>
        <v>0</v>
      </c>
      <c r="J105" s="28">
        <f t="shared" si="11"/>
        <v>0</v>
      </c>
      <c r="K105" s="17"/>
    </row>
    <row r="106" spans="1:11" ht="15" customHeight="1" x14ac:dyDescent="0.3">
      <c r="A106" s="35"/>
      <c r="B106" s="35"/>
      <c r="C106" s="35"/>
      <c r="D106" s="35"/>
      <c r="E106" s="35"/>
      <c r="F106" s="35"/>
      <c r="G106" s="35"/>
      <c r="H106" s="41">
        <f t="shared" si="9"/>
        <v>0</v>
      </c>
      <c r="I106" s="41">
        <f t="shared" si="10"/>
        <v>0</v>
      </c>
      <c r="J106" s="41">
        <f t="shared" si="11"/>
        <v>0</v>
      </c>
      <c r="K106" s="35"/>
    </row>
    <row r="107" spans="1:11" ht="15" customHeight="1" x14ac:dyDescent="0.3">
      <c r="A107" s="17"/>
      <c r="B107" s="17"/>
      <c r="C107" s="17"/>
      <c r="D107" s="17"/>
      <c r="E107" s="17"/>
      <c r="F107" s="17"/>
      <c r="G107" s="17"/>
      <c r="H107" s="28">
        <f t="shared" si="9"/>
        <v>0</v>
      </c>
      <c r="I107" s="28">
        <f t="shared" si="10"/>
        <v>0</v>
      </c>
      <c r="J107" s="28">
        <f t="shared" si="11"/>
        <v>0</v>
      </c>
      <c r="K107" s="17"/>
    </row>
    <row r="108" spans="1:11" ht="15" customHeight="1" x14ac:dyDescent="0.3">
      <c r="A108" s="35"/>
      <c r="B108" s="35"/>
      <c r="C108" s="35"/>
      <c r="D108" s="35"/>
      <c r="E108" s="35"/>
      <c r="F108" s="35"/>
      <c r="G108" s="35"/>
      <c r="H108" s="41">
        <f t="shared" ref="H108:H139" si="12">IFERROR(E108*G108,"")</f>
        <v>0</v>
      </c>
      <c r="I108" s="41">
        <f t="shared" ref="I108:I139" si="13">IFERROR(F108*G108*1.5,"")</f>
        <v>0</v>
      </c>
      <c r="J108" s="41">
        <f t="shared" ref="J108:J139" si="14">IFERROR(H108+I108,"")</f>
        <v>0</v>
      </c>
      <c r="K108" s="35"/>
    </row>
    <row r="109" spans="1:11" ht="15" customHeight="1" x14ac:dyDescent="0.3">
      <c r="A109" s="17"/>
      <c r="B109" s="17"/>
      <c r="C109" s="17"/>
      <c r="D109" s="17"/>
      <c r="E109" s="17"/>
      <c r="F109" s="17"/>
      <c r="G109" s="17"/>
      <c r="H109" s="28">
        <f t="shared" si="12"/>
        <v>0</v>
      </c>
      <c r="I109" s="28">
        <f t="shared" si="13"/>
        <v>0</v>
      </c>
      <c r="J109" s="28">
        <f t="shared" si="14"/>
        <v>0</v>
      </c>
      <c r="K109" s="17"/>
    </row>
    <row r="110" spans="1:11" ht="15" customHeight="1" x14ac:dyDescent="0.3">
      <c r="A110" s="35"/>
      <c r="B110" s="35"/>
      <c r="C110" s="35"/>
      <c r="D110" s="35"/>
      <c r="E110" s="35"/>
      <c r="F110" s="35"/>
      <c r="G110" s="35"/>
      <c r="H110" s="41">
        <f t="shared" si="12"/>
        <v>0</v>
      </c>
      <c r="I110" s="41">
        <f t="shared" si="13"/>
        <v>0</v>
      </c>
      <c r="J110" s="41">
        <f t="shared" si="14"/>
        <v>0</v>
      </c>
      <c r="K110" s="35"/>
    </row>
    <row r="111" spans="1:11" ht="15" customHeight="1" x14ac:dyDescent="0.3">
      <c r="A111" s="17"/>
      <c r="B111" s="17"/>
      <c r="C111" s="17"/>
      <c r="D111" s="17"/>
      <c r="E111" s="17"/>
      <c r="F111" s="17"/>
      <c r="G111" s="17"/>
      <c r="H111" s="28">
        <f t="shared" si="12"/>
        <v>0</v>
      </c>
      <c r="I111" s="28">
        <f t="shared" si="13"/>
        <v>0</v>
      </c>
      <c r="J111" s="28">
        <f t="shared" si="14"/>
        <v>0</v>
      </c>
      <c r="K111" s="17"/>
    </row>
    <row r="112" spans="1:11" ht="15" customHeight="1" x14ac:dyDescent="0.3">
      <c r="A112" s="35"/>
      <c r="B112" s="35"/>
      <c r="C112" s="35"/>
      <c r="D112" s="35"/>
      <c r="E112" s="35"/>
      <c r="F112" s="35"/>
      <c r="G112" s="35"/>
      <c r="H112" s="41">
        <f t="shared" si="12"/>
        <v>0</v>
      </c>
      <c r="I112" s="41">
        <f t="shared" si="13"/>
        <v>0</v>
      </c>
      <c r="J112" s="41">
        <f t="shared" si="14"/>
        <v>0</v>
      </c>
      <c r="K112" s="35"/>
    </row>
    <row r="113" spans="1:11" ht="15" customHeight="1" x14ac:dyDescent="0.3">
      <c r="A113" s="17"/>
      <c r="B113" s="17"/>
      <c r="C113" s="17"/>
      <c r="D113" s="17"/>
      <c r="E113" s="17"/>
      <c r="F113" s="17"/>
      <c r="G113" s="17"/>
      <c r="H113" s="28">
        <f t="shared" si="12"/>
        <v>0</v>
      </c>
      <c r="I113" s="28">
        <f t="shared" si="13"/>
        <v>0</v>
      </c>
      <c r="J113" s="28">
        <f t="shared" si="14"/>
        <v>0</v>
      </c>
      <c r="K113" s="17"/>
    </row>
    <row r="114" spans="1:11" ht="15" customHeight="1" x14ac:dyDescent="0.3">
      <c r="A114" s="35"/>
      <c r="B114" s="35"/>
      <c r="C114" s="35"/>
      <c r="D114" s="35"/>
      <c r="E114" s="35"/>
      <c r="F114" s="35"/>
      <c r="G114" s="35"/>
      <c r="H114" s="41">
        <f t="shared" si="12"/>
        <v>0</v>
      </c>
      <c r="I114" s="41">
        <f t="shared" si="13"/>
        <v>0</v>
      </c>
      <c r="J114" s="41">
        <f t="shared" si="14"/>
        <v>0</v>
      </c>
      <c r="K114" s="35"/>
    </row>
    <row r="115" spans="1:11" ht="15" customHeight="1" x14ac:dyDescent="0.3">
      <c r="A115" s="17"/>
      <c r="B115" s="17"/>
      <c r="C115" s="17"/>
      <c r="D115" s="17"/>
      <c r="E115" s="17"/>
      <c r="F115" s="17"/>
      <c r="G115" s="17"/>
      <c r="H115" s="28">
        <f t="shared" si="12"/>
        <v>0</v>
      </c>
      <c r="I115" s="28">
        <f t="shared" si="13"/>
        <v>0</v>
      </c>
      <c r="J115" s="28">
        <f t="shared" si="14"/>
        <v>0</v>
      </c>
      <c r="K115" s="17"/>
    </row>
    <row r="116" spans="1:11" ht="15" customHeight="1" x14ac:dyDescent="0.3">
      <c r="A116" s="35"/>
      <c r="B116" s="35"/>
      <c r="C116" s="35"/>
      <c r="D116" s="35"/>
      <c r="E116" s="35"/>
      <c r="F116" s="35"/>
      <c r="G116" s="35"/>
      <c r="H116" s="41">
        <f t="shared" si="12"/>
        <v>0</v>
      </c>
      <c r="I116" s="41">
        <f t="shared" si="13"/>
        <v>0</v>
      </c>
      <c r="J116" s="41">
        <f t="shared" si="14"/>
        <v>0</v>
      </c>
      <c r="K116" s="35"/>
    </row>
    <row r="117" spans="1:11" ht="15" customHeight="1" x14ac:dyDescent="0.3">
      <c r="A117" s="17"/>
      <c r="B117" s="17"/>
      <c r="C117" s="17"/>
      <c r="D117" s="17"/>
      <c r="E117" s="17"/>
      <c r="F117" s="17"/>
      <c r="G117" s="17"/>
      <c r="H117" s="28">
        <f t="shared" si="12"/>
        <v>0</v>
      </c>
      <c r="I117" s="28">
        <f t="shared" si="13"/>
        <v>0</v>
      </c>
      <c r="J117" s="28">
        <f t="shared" si="14"/>
        <v>0</v>
      </c>
      <c r="K117" s="17"/>
    </row>
    <row r="118" spans="1:11" ht="15" customHeight="1" x14ac:dyDescent="0.3">
      <c r="A118" s="35"/>
      <c r="B118" s="35"/>
      <c r="C118" s="35"/>
      <c r="D118" s="35"/>
      <c r="E118" s="35"/>
      <c r="F118" s="35"/>
      <c r="G118" s="35"/>
      <c r="H118" s="41">
        <f t="shared" si="12"/>
        <v>0</v>
      </c>
      <c r="I118" s="41">
        <f t="shared" si="13"/>
        <v>0</v>
      </c>
      <c r="J118" s="41">
        <f t="shared" si="14"/>
        <v>0</v>
      </c>
      <c r="K118" s="35"/>
    </row>
    <row r="119" spans="1:11" ht="15" customHeight="1" x14ac:dyDescent="0.3">
      <c r="A119" s="17"/>
      <c r="B119" s="17"/>
      <c r="C119" s="17"/>
      <c r="D119" s="17"/>
      <c r="E119" s="17"/>
      <c r="F119" s="17"/>
      <c r="G119" s="17"/>
      <c r="H119" s="28">
        <f t="shared" si="12"/>
        <v>0</v>
      </c>
      <c r="I119" s="28">
        <f t="shared" si="13"/>
        <v>0</v>
      </c>
      <c r="J119" s="28">
        <f t="shared" si="14"/>
        <v>0</v>
      </c>
      <c r="K119" s="17"/>
    </row>
    <row r="120" spans="1:11" ht="15" customHeight="1" x14ac:dyDescent="0.3">
      <c r="A120" s="35"/>
      <c r="B120" s="35"/>
      <c r="C120" s="35"/>
      <c r="D120" s="35"/>
      <c r="E120" s="35"/>
      <c r="F120" s="35"/>
      <c r="G120" s="35"/>
      <c r="H120" s="41">
        <f t="shared" si="12"/>
        <v>0</v>
      </c>
      <c r="I120" s="41">
        <f t="shared" si="13"/>
        <v>0</v>
      </c>
      <c r="J120" s="41">
        <f t="shared" si="14"/>
        <v>0</v>
      </c>
      <c r="K120" s="35"/>
    </row>
    <row r="121" spans="1:11" ht="15" customHeight="1" x14ac:dyDescent="0.3">
      <c r="A121" s="17"/>
      <c r="B121" s="17"/>
      <c r="C121" s="17"/>
      <c r="D121" s="17"/>
      <c r="E121" s="17"/>
      <c r="F121" s="17"/>
      <c r="G121" s="17"/>
      <c r="H121" s="28">
        <f t="shared" si="12"/>
        <v>0</v>
      </c>
      <c r="I121" s="28">
        <f t="shared" si="13"/>
        <v>0</v>
      </c>
      <c r="J121" s="28">
        <f t="shared" si="14"/>
        <v>0</v>
      </c>
      <c r="K121" s="17"/>
    </row>
    <row r="122" spans="1:11" ht="15" customHeight="1" x14ac:dyDescent="0.3">
      <c r="A122" s="35"/>
      <c r="B122" s="35"/>
      <c r="C122" s="35"/>
      <c r="D122" s="35"/>
      <c r="E122" s="35"/>
      <c r="F122" s="35"/>
      <c r="G122" s="35"/>
      <c r="H122" s="41">
        <f t="shared" si="12"/>
        <v>0</v>
      </c>
      <c r="I122" s="41">
        <f t="shared" si="13"/>
        <v>0</v>
      </c>
      <c r="J122" s="41">
        <f t="shared" si="14"/>
        <v>0</v>
      </c>
      <c r="K122" s="35"/>
    </row>
    <row r="123" spans="1:11" ht="15" customHeight="1" x14ac:dyDescent="0.3">
      <c r="A123" s="17"/>
      <c r="B123" s="17"/>
      <c r="C123" s="17"/>
      <c r="D123" s="17"/>
      <c r="E123" s="17"/>
      <c r="F123" s="17"/>
      <c r="G123" s="17"/>
      <c r="H123" s="28">
        <f t="shared" si="12"/>
        <v>0</v>
      </c>
      <c r="I123" s="28">
        <f t="shared" si="13"/>
        <v>0</v>
      </c>
      <c r="J123" s="28">
        <f t="shared" si="14"/>
        <v>0</v>
      </c>
      <c r="K123" s="17"/>
    </row>
    <row r="124" spans="1:11" ht="15" customHeight="1" x14ac:dyDescent="0.3">
      <c r="A124" s="35"/>
      <c r="B124" s="35"/>
      <c r="C124" s="35"/>
      <c r="D124" s="35"/>
      <c r="E124" s="35"/>
      <c r="F124" s="35"/>
      <c r="G124" s="35"/>
      <c r="H124" s="41">
        <f t="shared" si="12"/>
        <v>0</v>
      </c>
      <c r="I124" s="41">
        <f t="shared" si="13"/>
        <v>0</v>
      </c>
      <c r="J124" s="41">
        <f t="shared" si="14"/>
        <v>0</v>
      </c>
      <c r="K124" s="35"/>
    </row>
    <row r="125" spans="1:11" ht="15" customHeight="1" x14ac:dyDescent="0.3">
      <c r="A125" s="17"/>
      <c r="B125" s="17"/>
      <c r="C125" s="17"/>
      <c r="D125" s="17"/>
      <c r="E125" s="17"/>
      <c r="F125" s="17"/>
      <c r="G125" s="17"/>
      <c r="H125" s="28">
        <f t="shared" si="12"/>
        <v>0</v>
      </c>
      <c r="I125" s="28">
        <f t="shared" si="13"/>
        <v>0</v>
      </c>
      <c r="J125" s="28">
        <f t="shared" si="14"/>
        <v>0</v>
      </c>
      <c r="K125" s="17"/>
    </row>
    <row r="126" spans="1:11" ht="15" customHeight="1" x14ac:dyDescent="0.3">
      <c r="A126" s="35"/>
      <c r="B126" s="35"/>
      <c r="C126" s="35"/>
      <c r="D126" s="35"/>
      <c r="E126" s="35"/>
      <c r="F126" s="35"/>
      <c r="G126" s="35"/>
      <c r="H126" s="41">
        <f t="shared" si="12"/>
        <v>0</v>
      </c>
      <c r="I126" s="41">
        <f t="shared" si="13"/>
        <v>0</v>
      </c>
      <c r="J126" s="41">
        <f t="shared" si="14"/>
        <v>0</v>
      </c>
      <c r="K126" s="35"/>
    </row>
    <row r="127" spans="1:11" ht="15" customHeight="1" x14ac:dyDescent="0.3">
      <c r="A127" s="17"/>
      <c r="B127" s="17"/>
      <c r="C127" s="17"/>
      <c r="D127" s="17"/>
      <c r="E127" s="17"/>
      <c r="F127" s="17"/>
      <c r="G127" s="17"/>
      <c r="H127" s="28">
        <f t="shared" si="12"/>
        <v>0</v>
      </c>
      <c r="I127" s="28">
        <f t="shared" si="13"/>
        <v>0</v>
      </c>
      <c r="J127" s="28">
        <f t="shared" si="14"/>
        <v>0</v>
      </c>
      <c r="K127" s="17"/>
    </row>
    <row r="128" spans="1:11" ht="15" customHeight="1" x14ac:dyDescent="0.3">
      <c r="A128" s="35"/>
      <c r="B128" s="35"/>
      <c r="C128" s="35"/>
      <c r="D128" s="35"/>
      <c r="E128" s="35"/>
      <c r="F128" s="35"/>
      <c r="G128" s="35"/>
      <c r="H128" s="41">
        <f t="shared" si="12"/>
        <v>0</v>
      </c>
      <c r="I128" s="41">
        <f t="shared" si="13"/>
        <v>0</v>
      </c>
      <c r="J128" s="41">
        <f t="shared" si="14"/>
        <v>0</v>
      </c>
      <c r="K128" s="35"/>
    </row>
    <row r="129" spans="1:11" ht="15" customHeight="1" x14ac:dyDescent="0.3">
      <c r="A129" s="17"/>
      <c r="B129" s="17"/>
      <c r="C129" s="17"/>
      <c r="D129" s="17"/>
      <c r="E129" s="17"/>
      <c r="F129" s="17"/>
      <c r="G129" s="17"/>
      <c r="H129" s="28">
        <f t="shared" si="12"/>
        <v>0</v>
      </c>
      <c r="I129" s="28">
        <f t="shared" si="13"/>
        <v>0</v>
      </c>
      <c r="J129" s="28">
        <f t="shared" si="14"/>
        <v>0</v>
      </c>
      <c r="K129" s="17"/>
    </row>
    <row r="130" spans="1:11" ht="15" customHeight="1" x14ac:dyDescent="0.3">
      <c r="A130" s="35"/>
      <c r="B130" s="35"/>
      <c r="C130" s="35"/>
      <c r="D130" s="35"/>
      <c r="E130" s="35"/>
      <c r="F130" s="35"/>
      <c r="G130" s="35"/>
      <c r="H130" s="41">
        <f t="shared" si="12"/>
        <v>0</v>
      </c>
      <c r="I130" s="41">
        <f t="shared" si="13"/>
        <v>0</v>
      </c>
      <c r="J130" s="41">
        <f t="shared" si="14"/>
        <v>0</v>
      </c>
      <c r="K130" s="35"/>
    </row>
    <row r="131" spans="1:11" ht="15" customHeight="1" x14ac:dyDescent="0.3">
      <c r="A131" s="17"/>
      <c r="B131" s="17"/>
      <c r="C131" s="17"/>
      <c r="D131" s="17"/>
      <c r="E131" s="17"/>
      <c r="F131" s="17"/>
      <c r="G131" s="17"/>
      <c r="H131" s="28">
        <f t="shared" si="12"/>
        <v>0</v>
      </c>
      <c r="I131" s="28">
        <f t="shared" si="13"/>
        <v>0</v>
      </c>
      <c r="J131" s="28">
        <f t="shared" si="14"/>
        <v>0</v>
      </c>
      <c r="K131" s="17"/>
    </row>
    <row r="132" spans="1:11" ht="15" customHeight="1" x14ac:dyDescent="0.3">
      <c r="A132" s="35"/>
      <c r="B132" s="35"/>
      <c r="C132" s="35"/>
      <c r="D132" s="35"/>
      <c r="E132" s="35"/>
      <c r="F132" s="35"/>
      <c r="G132" s="35"/>
      <c r="H132" s="41">
        <f t="shared" si="12"/>
        <v>0</v>
      </c>
      <c r="I132" s="41">
        <f t="shared" si="13"/>
        <v>0</v>
      </c>
      <c r="J132" s="41">
        <f t="shared" si="14"/>
        <v>0</v>
      </c>
      <c r="K132" s="35"/>
    </row>
    <row r="133" spans="1:11" ht="15" customHeight="1" x14ac:dyDescent="0.3">
      <c r="A133" s="17"/>
      <c r="B133" s="17"/>
      <c r="C133" s="17"/>
      <c r="D133" s="17"/>
      <c r="E133" s="17"/>
      <c r="F133" s="17"/>
      <c r="G133" s="17"/>
      <c r="H133" s="28">
        <f t="shared" si="12"/>
        <v>0</v>
      </c>
      <c r="I133" s="28">
        <f t="shared" si="13"/>
        <v>0</v>
      </c>
      <c r="J133" s="28">
        <f t="shared" si="14"/>
        <v>0</v>
      </c>
      <c r="K133" s="17"/>
    </row>
    <row r="134" spans="1:11" ht="15" customHeight="1" x14ac:dyDescent="0.3">
      <c r="A134" s="35"/>
      <c r="B134" s="35"/>
      <c r="C134" s="35"/>
      <c r="D134" s="35"/>
      <c r="E134" s="35"/>
      <c r="F134" s="35"/>
      <c r="G134" s="35"/>
      <c r="H134" s="41">
        <f t="shared" si="12"/>
        <v>0</v>
      </c>
      <c r="I134" s="41">
        <f t="shared" si="13"/>
        <v>0</v>
      </c>
      <c r="J134" s="41">
        <f t="shared" si="14"/>
        <v>0</v>
      </c>
      <c r="K134" s="35"/>
    </row>
    <row r="135" spans="1:11" ht="15" customHeight="1" x14ac:dyDescent="0.3">
      <c r="A135" s="17"/>
      <c r="B135" s="17"/>
      <c r="C135" s="17"/>
      <c r="D135" s="17"/>
      <c r="E135" s="17"/>
      <c r="F135" s="17"/>
      <c r="G135" s="17"/>
      <c r="H135" s="28">
        <f t="shared" si="12"/>
        <v>0</v>
      </c>
      <c r="I135" s="28">
        <f t="shared" si="13"/>
        <v>0</v>
      </c>
      <c r="J135" s="28">
        <f t="shared" si="14"/>
        <v>0</v>
      </c>
      <c r="K135" s="17"/>
    </row>
    <row r="136" spans="1:11" ht="15" customHeight="1" x14ac:dyDescent="0.3">
      <c r="A136" s="35"/>
      <c r="B136" s="35"/>
      <c r="C136" s="35"/>
      <c r="D136" s="35"/>
      <c r="E136" s="35"/>
      <c r="F136" s="35"/>
      <c r="G136" s="35"/>
      <c r="H136" s="41">
        <f t="shared" si="12"/>
        <v>0</v>
      </c>
      <c r="I136" s="41">
        <f t="shared" si="13"/>
        <v>0</v>
      </c>
      <c r="J136" s="41">
        <f t="shared" si="14"/>
        <v>0</v>
      </c>
      <c r="K136" s="35"/>
    </row>
    <row r="137" spans="1:11" ht="15" customHeight="1" x14ac:dyDescent="0.3">
      <c r="A137" s="17"/>
      <c r="B137" s="17"/>
      <c r="C137" s="17"/>
      <c r="D137" s="17"/>
      <c r="E137" s="17"/>
      <c r="F137" s="17"/>
      <c r="G137" s="17"/>
      <c r="H137" s="28">
        <f t="shared" si="12"/>
        <v>0</v>
      </c>
      <c r="I137" s="28">
        <f t="shared" si="13"/>
        <v>0</v>
      </c>
      <c r="J137" s="28">
        <f t="shared" si="14"/>
        <v>0</v>
      </c>
      <c r="K137" s="17"/>
    </row>
    <row r="138" spans="1:11" ht="15" customHeight="1" x14ac:dyDescent="0.3">
      <c r="A138" s="35"/>
      <c r="B138" s="35"/>
      <c r="C138" s="35"/>
      <c r="D138" s="35"/>
      <c r="E138" s="35"/>
      <c r="F138" s="35"/>
      <c r="G138" s="35"/>
      <c r="H138" s="41">
        <f t="shared" si="12"/>
        <v>0</v>
      </c>
      <c r="I138" s="41">
        <f t="shared" si="13"/>
        <v>0</v>
      </c>
      <c r="J138" s="41">
        <f t="shared" si="14"/>
        <v>0</v>
      </c>
      <c r="K138" s="35"/>
    </row>
    <row r="139" spans="1:11" ht="15" customHeight="1" x14ac:dyDescent="0.3">
      <c r="A139" s="17"/>
      <c r="B139" s="17"/>
      <c r="C139" s="17"/>
      <c r="D139" s="17"/>
      <c r="E139" s="17"/>
      <c r="F139" s="17"/>
      <c r="G139" s="17"/>
      <c r="H139" s="28">
        <f t="shared" si="12"/>
        <v>0</v>
      </c>
      <c r="I139" s="28">
        <f t="shared" si="13"/>
        <v>0</v>
      </c>
      <c r="J139" s="28">
        <f t="shared" si="14"/>
        <v>0</v>
      </c>
      <c r="K139" s="17"/>
    </row>
    <row r="140" spans="1:11" ht="15" customHeight="1" x14ac:dyDescent="0.3">
      <c r="A140" s="35"/>
      <c r="B140" s="35"/>
      <c r="C140" s="35"/>
      <c r="D140" s="35"/>
      <c r="E140" s="35"/>
      <c r="F140" s="35"/>
      <c r="G140" s="35"/>
      <c r="H140" s="41">
        <f t="shared" ref="H140:H171" si="15">IFERROR(E140*G140,"")</f>
        <v>0</v>
      </c>
      <c r="I140" s="41">
        <f t="shared" ref="I140:I171" si="16">IFERROR(F140*G140*1.5,"")</f>
        <v>0</v>
      </c>
      <c r="J140" s="41">
        <f t="shared" ref="J140:J171" si="17">IFERROR(H140+I140,"")</f>
        <v>0</v>
      </c>
      <c r="K140" s="35"/>
    </row>
    <row r="141" spans="1:11" ht="15" customHeight="1" x14ac:dyDescent="0.3">
      <c r="A141" s="17"/>
      <c r="B141" s="17"/>
      <c r="C141" s="17"/>
      <c r="D141" s="17"/>
      <c r="E141" s="17"/>
      <c r="F141" s="17"/>
      <c r="G141" s="17"/>
      <c r="H141" s="28">
        <f t="shared" si="15"/>
        <v>0</v>
      </c>
      <c r="I141" s="28">
        <f t="shared" si="16"/>
        <v>0</v>
      </c>
      <c r="J141" s="28">
        <f t="shared" si="17"/>
        <v>0</v>
      </c>
      <c r="K141" s="17"/>
    </row>
    <row r="142" spans="1:11" ht="15" customHeight="1" x14ac:dyDescent="0.3">
      <c r="A142" s="35"/>
      <c r="B142" s="35"/>
      <c r="C142" s="35"/>
      <c r="D142" s="35"/>
      <c r="E142" s="35"/>
      <c r="F142" s="35"/>
      <c r="G142" s="35"/>
      <c r="H142" s="41">
        <f t="shared" si="15"/>
        <v>0</v>
      </c>
      <c r="I142" s="41">
        <f t="shared" si="16"/>
        <v>0</v>
      </c>
      <c r="J142" s="41">
        <f t="shared" si="17"/>
        <v>0</v>
      </c>
      <c r="K142" s="35"/>
    </row>
    <row r="143" spans="1:11" ht="15" customHeight="1" x14ac:dyDescent="0.3">
      <c r="A143" s="17"/>
      <c r="B143" s="17"/>
      <c r="C143" s="17"/>
      <c r="D143" s="17"/>
      <c r="E143" s="17"/>
      <c r="F143" s="17"/>
      <c r="G143" s="17"/>
      <c r="H143" s="28">
        <f t="shared" si="15"/>
        <v>0</v>
      </c>
      <c r="I143" s="28">
        <f t="shared" si="16"/>
        <v>0</v>
      </c>
      <c r="J143" s="28">
        <f t="shared" si="17"/>
        <v>0</v>
      </c>
      <c r="K143" s="17"/>
    </row>
    <row r="144" spans="1:11" ht="15" customHeight="1" x14ac:dyDescent="0.3">
      <c r="A144" s="35"/>
      <c r="B144" s="35"/>
      <c r="C144" s="35"/>
      <c r="D144" s="35"/>
      <c r="E144" s="35"/>
      <c r="F144" s="35"/>
      <c r="G144" s="35"/>
      <c r="H144" s="41">
        <f t="shared" si="15"/>
        <v>0</v>
      </c>
      <c r="I144" s="41">
        <f t="shared" si="16"/>
        <v>0</v>
      </c>
      <c r="J144" s="41">
        <f t="shared" si="17"/>
        <v>0</v>
      </c>
      <c r="K144" s="35"/>
    </row>
    <row r="145" spans="1:11" ht="15" customHeight="1" x14ac:dyDescent="0.3">
      <c r="A145" s="17"/>
      <c r="B145" s="17"/>
      <c r="C145" s="17"/>
      <c r="D145" s="17"/>
      <c r="E145" s="17"/>
      <c r="F145" s="17"/>
      <c r="G145" s="17"/>
      <c r="H145" s="28">
        <f t="shared" si="15"/>
        <v>0</v>
      </c>
      <c r="I145" s="28">
        <f t="shared" si="16"/>
        <v>0</v>
      </c>
      <c r="J145" s="28">
        <f t="shared" si="17"/>
        <v>0</v>
      </c>
      <c r="K145" s="17"/>
    </row>
    <row r="146" spans="1:11" ht="15" customHeight="1" x14ac:dyDescent="0.3">
      <c r="A146" s="35"/>
      <c r="B146" s="35"/>
      <c r="C146" s="35"/>
      <c r="D146" s="35"/>
      <c r="E146" s="35"/>
      <c r="F146" s="35"/>
      <c r="G146" s="35"/>
      <c r="H146" s="41">
        <f t="shared" si="15"/>
        <v>0</v>
      </c>
      <c r="I146" s="41">
        <f t="shared" si="16"/>
        <v>0</v>
      </c>
      <c r="J146" s="41">
        <f t="shared" si="17"/>
        <v>0</v>
      </c>
      <c r="K146" s="35"/>
    </row>
    <row r="147" spans="1:11" ht="15" customHeight="1" x14ac:dyDescent="0.3">
      <c r="A147" s="17"/>
      <c r="B147" s="17"/>
      <c r="C147" s="17"/>
      <c r="D147" s="17"/>
      <c r="E147" s="17"/>
      <c r="F147" s="17"/>
      <c r="G147" s="17"/>
      <c r="H147" s="28">
        <f t="shared" si="15"/>
        <v>0</v>
      </c>
      <c r="I147" s="28">
        <f t="shared" si="16"/>
        <v>0</v>
      </c>
      <c r="J147" s="28">
        <f t="shared" si="17"/>
        <v>0</v>
      </c>
      <c r="K147" s="17"/>
    </row>
    <row r="148" spans="1:11" ht="15" customHeight="1" x14ac:dyDescent="0.3">
      <c r="A148" s="35"/>
      <c r="B148" s="35"/>
      <c r="C148" s="35"/>
      <c r="D148" s="35"/>
      <c r="E148" s="35"/>
      <c r="F148" s="35"/>
      <c r="G148" s="35"/>
      <c r="H148" s="41">
        <f t="shared" si="15"/>
        <v>0</v>
      </c>
      <c r="I148" s="41">
        <f t="shared" si="16"/>
        <v>0</v>
      </c>
      <c r="J148" s="41">
        <f t="shared" si="17"/>
        <v>0</v>
      </c>
      <c r="K148" s="35"/>
    </row>
    <row r="149" spans="1:11" ht="15" customHeight="1" x14ac:dyDescent="0.3">
      <c r="A149" s="17"/>
      <c r="B149" s="17"/>
      <c r="C149" s="17"/>
      <c r="D149" s="17"/>
      <c r="E149" s="17"/>
      <c r="F149" s="17"/>
      <c r="G149" s="17"/>
      <c r="H149" s="28">
        <f t="shared" si="15"/>
        <v>0</v>
      </c>
      <c r="I149" s="28">
        <f t="shared" si="16"/>
        <v>0</v>
      </c>
      <c r="J149" s="28">
        <f t="shared" si="17"/>
        <v>0</v>
      </c>
      <c r="K149" s="17"/>
    </row>
    <row r="150" spans="1:11" ht="15" customHeight="1" x14ac:dyDescent="0.3">
      <c r="A150" s="35"/>
      <c r="B150" s="35"/>
      <c r="C150" s="35"/>
      <c r="D150" s="35"/>
      <c r="E150" s="35"/>
      <c r="F150" s="35"/>
      <c r="G150" s="35"/>
      <c r="H150" s="41">
        <f t="shared" si="15"/>
        <v>0</v>
      </c>
      <c r="I150" s="41">
        <f t="shared" si="16"/>
        <v>0</v>
      </c>
      <c r="J150" s="41">
        <f t="shared" si="17"/>
        <v>0</v>
      </c>
      <c r="K150" s="35"/>
    </row>
    <row r="151" spans="1:11" ht="15" customHeight="1" x14ac:dyDescent="0.3">
      <c r="A151" s="17"/>
      <c r="B151" s="17"/>
      <c r="C151" s="17"/>
      <c r="D151" s="17"/>
      <c r="E151" s="17"/>
      <c r="F151" s="17"/>
      <c r="G151" s="17"/>
      <c r="H151" s="28">
        <f t="shared" si="15"/>
        <v>0</v>
      </c>
      <c r="I151" s="28">
        <f t="shared" si="16"/>
        <v>0</v>
      </c>
      <c r="J151" s="28">
        <f t="shared" si="17"/>
        <v>0</v>
      </c>
      <c r="K151" s="17"/>
    </row>
    <row r="152" spans="1:11" ht="15" customHeight="1" x14ac:dyDescent="0.3">
      <c r="A152" s="35"/>
      <c r="B152" s="35"/>
      <c r="C152" s="35"/>
      <c r="D152" s="35"/>
      <c r="E152" s="35"/>
      <c r="F152" s="35"/>
      <c r="G152" s="35"/>
      <c r="H152" s="41">
        <f t="shared" si="15"/>
        <v>0</v>
      </c>
      <c r="I152" s="41">
        <f t="shared" si="16"/>
        <v>0</v>
      </c>
      <c r="J152" s="41">
        <f t="shared" si="17"/>
        <v>0</v>
      </c>
      <c r="K152" s="35"/>
    </row>
    <row r="153" spans="1:11" ht="15" customHeight="1" x14ac:dyDescent="0.3">
      <c r="A153" s="17"/>
      <c r="B153" s="17"/>
      <c r="C153" s="17"/>
      <c r="D153" s="17"/>
      <c r="E153" s="17"/>
      <c r="F153" s="17"/>
      <c r="G153" s="17"/>
      <c r="H153" s="28">
        <f t="shared" si="15"/>
        <v>0</v>
      </c>
      <c r="I153" s="28">
        <f t="shared" si="16"/>
        <v>0</v>
      </c>
      <c r="J153" s="28">
        <f t="shared" si="17"/>
        <v>0</v>
      </c>
      <c r="K153" s="17"/>
    </row>
    <row r="154" spans="1:11" ht="15" customHeight="1" x14ac:dyDescent="0.3">
      <c r="A154" s="35"/>
      <c r="B154" s="35"/>
      <c r="C154" s="35"/>
      <c r="D154" s="35"/>
      <c r="E154" s="35"/>
      <c r="F154" s="35"/>
      <c r="G154" s="35"/>
      <c r="H154" s="41">
        <f t="shared" si="15"/>
        <v>0</v>
      </c>
      <c r="I154" s="41">
        <f t="shared" si="16"/>
        <v>0</v>
      </c>
      <c r="J154" s="41">
        <f t="shared" si="17"/>
        <v>0</v>
      </c>
      <c r="K154" s="35"/>
    </row>
    <row r="155" spans="1:11" ht="15" customHeight="1" x14ac:dyDescent="0.3">
      <c r="A155" s="17"/>
      <c r="B155" s="17"/>
      <c r="C155" s="17"/>
      <c r="D155" s="17"/>
      <c r="E155" s="17"/>
      <c r="F155" s="17"/>
      <c r="G155" s="17"/>
      <c r="H155" s="28">
        <f t="shared" si="15"/>
        <v>0</v>
      </c>
      <c r="I155" s="28">
        <f t="shared" si="16"/>
        <v>0</v>
      </c>
      <c r="J155" s="28">
        <f t="shared" si="17"/>
        <v>0</v>
      </c>
      <c r="K155" s="17"/>
    </row>
    <row r="156" spans="1:11" ht="15" customHeight="1" x14ac:dyDescent="0.3">
      <c r="A156" s="35"/>
      <c r="B156" s="35"/>
      <c r="C156" s="35"/>
      <c r="D156" s="35"/>
      <c r="E156" s="35"/>
      <c r="F156" s="35"/>
      <c r="G156" s="35"/>
      <c r="H156" s="41">
        <f t="shared" si="15"/>
        <v>0</v>
      </c>
      <c r="I156" s="41">
        <f t="shared" si="16"/>
        <v>0</v>
      </c>
      <c r="J156" s="41">
        <f t="shared" si="17"/>
        <v>0</v>
      </c>
      <c r="K156" s="35"/>
    </row>
    <row r="157" spans="1:11" ht="15" customHeight="1" x14ac:dyDescent="0.3">
      <c r="A157" s="17"/>
      <c r="B157" s="17"/>
      <c r="C157" s="17"/>
      <c r="D157" s="17"/>
      <c r="E157" s="17"/>
      <c r="F157" s="17"/>
      <c r="G157" s="17"/>
      <c r="H157" s="28">
        <f t="shared" si="15"/>
        <v>0</v>
      </c>
      <c r="I157" s="28">
        <f t="shared" si="16"/>
        <v>0</v>
      </c>
      <c r="J157" s="28">
        <f t="shared" si="17"/>
        <v>0</v>
      </c>
      <c r="K157" s="17"/>
    </row>
    <row r="158" spans="1:11" ht="15" customHeight="1" x14ac:dyDescent="0.3">
      <c r="A158" s="35"/>
      <c r="B158" s="35"/>
      <c r="C158" s="35"/>
      <c r="D158" s="35"/>
      <c r="E158" s="35"/>
      <c r="F158" s="35"/>
      <c r="G158" s="35"/>
      <c r="H158" s="41">
        <f t="shared" si="15"/>
        <v>0</v>
      </c>
      <c r="I158" s="41">
        <f t="shared" si="16"/>
        <v>0</v>
      </c>
      <c r="J158" s="41">
        <f t="shared" si="17"/>
        <v>0</v>
      </c>
      <c r="K158" s="35"/>
    </row>
    <row r="159" spans="1:11" ht="15" customHeight="1" x14ac:dyDescent="0.3">
      <c r="A159" s="17"/>
      <c r="B159" s="17"/>
      <c r="C159" s="17"/>
      <c r="D159" s="17"/>
      <c r="E159" s="17"/>
      <c r="F159" s="17"/>
      <c r="G159" s="17"/>
      <c r="H159" s="28">
        <f t="shared" si="15"/>
        <v>0</v>
      </c>
      <c r="I159" s="28">
        <f t="shared" si="16"/>
        <v>0</v>
      </c>
      <c r="J159" s="28">
        <f t="shared" si="17"/>
        <v>0</v>
      </c>
      <c r="K159" s="17"/>
    </row>
    <row r="160" spans="1:11" ht="15" customHeight="1" x14ac:dyDescent="0.3">
      <c r="A160" s="35"/>
      <c r="B160" s="35"/>
      <c r="C160" s="35"/>
      <c r="D160" s="35"/>
      <c r="E160" s="35"/>
      <c r="F160" s="35"/>
      <c r="G160" s="35"/>
      <c r="H160" s="41">
        <f t="shared" si="15"/>
        <v>0</v>
      </c>
      <c r="I160" s="41">
        <f t="shared" si="16"/>
        <v>0</v>
      </c>
      <c r="J160" s="41">
        <f t="shared" si="17"/>
        <v>0</v>
      </c>
      <c r="K160" s="35"/>
    </row>
    <row r="161" spans="1:11" ht="15" customHeight="1" x14ac:dyDescent="0.3">
      <c r="A161" s="17"/>
      <c r="B161" s="17"/>
      <c r="C161" s="17"/>
      <c r="D161" s="17"/>
      <c r="E161" s="17"/>
      <c r="F161" s="17"/>
      <c r="G161" s="17"/>
      <c r="H161" s="28">
        <f t="shared" si="15"/>
        <v>0</v>
      </c>
      <c r="I161" s="28">
        <f t="shared" si="16"/>
        <v>0</v>
      </c>
      <c r="J161" s="28">
        <f t="shared" si="17"/>
        <v>0</v>
      </c>
      <c r="K161" s="17"/>
    </row>
    <row r="162" spans="1:11" ht="15" customHeight="1" x14ac:dyDescent="0.3">
      <c r="A162" s="35"/>
      <c r="B162" s="35"/>
      <c r="C162" s="35"/>
      <c r="D162" s="35"/>
      <c r="E162" s="35"/>
      <c r="F162" s="35"/>
      <c r="G162" s="35"/>
      <c r="H162" s="41">
        <f t="shared" si="15"/>
        <v>0</v>
      </c>
      <c r="I162" s="41">
        <f t="shared" si="16"/>
        <v>0</v>
      </c>
      <c r="J162" s="41">
        <f t="shared" si="17"/>
        <v>0</v>
      </c>
      <c r="K162" s="35"/>
    </row>
    <row r="163" spans="1:11" ht="15" customHeight="1" x14ac:dyDescent="0.3">
      <c r="A163" s="17"/>
      <c r="B163" s="17"/>
      <c r="C163" s="17"/>
      <c r="D163" s="17"/>
      <c r="E163" s="17"/>
      <c r="F163" s="17"/>
      <c r="G163" s="17"/>
      <c r="H163" s="28">
        <f t="shared" si="15"/>
        <v>0</v>
      </c>
      <c r="I163" s="28">
        <f t="shared" si="16"/>
        <v>0</v>
      </c>
      <c r="J163" s="28">
        <f t="shared" si="17"/>
        <v>0</v>
      </c>
      <c r="K163" s="17"/>
    </row>
    <row r="164" spans="1:11" ht="15" customHeight="1" x14ac:dyDescent="0.3">
      <c r="A164" s="35"/>
      <c r="B164" s="35"/>
      <c r="C164" s="35"/>
      <c r="D164" s="35"/>
      <c r="E164" s="35"/>
      <c r="F164" s="35"/>
      <c r="G164" s="35"/>
      <c r="H164" s="41">
        <f t="shared" si="15"/>
        <v>0</v>
      </c>
      <c r="I164" s="41">
        <f t="shared" si="16"/>
        <v>0</v>
      </c>
      <c r="J164" s="41">
        <f t="shared" si="17"/>
        <v>0</v>
      </c>
      <c r="K164" s="35"/>
    </row>
    <row r="165" spans="1:11" ht="15" customHeight="1" x14ac:dyDescent="0.3">
      <c r="A165" s="17"/>
      <c r="B165" s="17"/>
      <c r="C165" s="17"/>
      <c r="D165" s="17"/>
      <c r="E165" s="17"/>
      <c r="F165" s="17"/>
      <c r="G165" s="17"/>
      <c r="H165" s="28">
        <f t="shared" si="15"/>
        <v>0</v>
      </c>
      <c r="I165" s="28">
        <f t="shared" si="16"/>
        <v>0</v>
      </c>
      <c r="J165" s="28">
        <f t="shared" si="17"/>
        <v>0</v>
      </c>
      <c r="K165" s="17"/>
    </row>
    <row r="166" spans="1:11" ht="15" customHeight="1" x14ac:dyDescent="0.3">
      <c r="A166" s="35"/>
      <c r="B166" s="35"/>
      <c r="C166" s="35"/>
      <c r="D166" s="35"/>
      <c r="E166" s="35"/>
      <c r="F166" s="35"/>
      <c r="G166" s="35"/>
      <c r="H166" s="41">
        <f t="shared" si="15"/>
        <v>0</v>
      </c>
      <c r="I166" s="41">
        <f t="shared" si="16"/>
        <v>0</v>
      </c>
      <c r="J166" s="41">
        <f t="shared" si="17"/>
        <v>0</v>
      </c>
      <c r="K166" s="35"/>
    </row>
    <row r="167" spans="1:11" ht="15" customHeight="1" x14ac:dyDescent="0.3">
      <c r="A167" s="17"/>
      <c r="B167" s="17"/>
      <c r="C167" s="17"/>
      <c r="D167" s="17"/>
      <c r="E167" s="17"/>
      <c r="F167" s="17"/>
      <c r="G167" s="17"/>
      <c r="H167" s="28">
        <f t="shared" si="15"/>
        <v>0</v>
      </c>
      <c r="I167" s="28">
        <f t="shared" si="16"/>
        <v>0</v>
      </c>
      <c r="J167" s="28">
        <f t="shared" si="17"/>
        <v>0</v>
      </c>
      <c r="K167" s="17"/>
    </row>
    <row r="168" spans="1:11" ht="15" customHeight="1" x14ac:dyDescent="0.3">
      <c r="A168" s="35"/>
      <c r="B168" s="35"/>
      <c r="C168" s="35"/>
      <c r="D168" s="35"/>
      <c r="E168" s="35"/>
      <c r="F168" s="35"/>
      <c r="G168" s="35"/>
      <c r="H168" s="41">
        <f t="shared" si="15"/>
        <v>0</v>
      </c>
      <c r="I168" s="41">
        <f t="shared" si="16"/>
        <v>0</v>
      </c>
      <c r="J168" s="41">
        <f t="shared" si="17"/>
        <v>0</v>
      </c>
      <c r="K168" s="35"/>
    </row>
    <row r="169" spans="1:11" ht="15" customHeight="1" x14ac:dyDescent="0.3">
      <c r="A169" s="17"/>
      <c r="B169" s="17"/>
      <c r="C169" s="17"/>
      <c r="D169" s="17"/>
      <c r="E169" s="17"/>
      <c r="F169" s="17"/>
      <c r="G169" s="17"/>
      <c r="H169" s="28">
        <f t="shared" si="15"/>
        <v>0</v>
      </c>
      <c r="I169" s="28">
        <f t="shared" si="16"/>
        <v>0</v>
      </c>
      <c r="J169" s="28">
        <f t="shared" si="17"/>
        <v>0</v>
      </c>
      <c r="K169" s="17"/>
    </row>
    <row r="170" spans="1:11" ht="15" customHeight="1" x14ac:dyDescent="0.3">
      <c r="A170" s="35"/>
      <c r="B170" s="35"/>
      <c r="C170" s="35"/>
      <c r="D170" s="35"/>
      <c r="E170" s="35"/>
      <c r="F170" s="35"/>
      <c r="G170" s="35"/>
      <c r="H170" s="41">
        <f t="shared" si="15"/>
        <v>0</v>
      </c>
      <c r="I170" s="41">
        <f t="shared" si="16"/>
        <v>0</v>
      </c>
      <c r="J170" s="41">
        <f t="shared" si="17"/>
        <v>0</v>
      </c>
      <c r="K170" s="35"/>
    </row>
    <row r="171" spans="1:11" ht="15" customHeight="1" x14ac:dyDescent="0.3">
      <c r="A171" s="17"/>
      <c r="B171" s="17"/>
      <c r="C171" s="17"/>
      <c r="D171" s="17"/>
      <c r="E171" s="17"/>
      <c r="F171" s="17"/>
      <c r="G171" s="17"/>
      <c r="H171" s="28">
        <f t="shared" si="15"/>
        <v>0</v>
      </c>
      <c r="I171" s="28">
        <f t="shared" si="16"/>
        <v>0</v>
      </c>
      <c r="J171" s="28">
        <f t="shared" si="17"/>
        <v>0</v>
      </c>
      <c r="K171" s="17"/>
    </row>
    <row r="172" spans="1:11" ht="15" customHeight="1" x14ac:dyDescent="0.3">
      <c r="A172" s="35"/>
      <c r="B172" s="35"/>
      <c r="C172" s="35"/>
      <c r="D172" s="35"/>
      <c r="E172" s="35"/>
      <c r="F172" s="35"/>
      <c r="G172" s="35"/>
      <c r="H172" s="41">
        <f t="shared" ref="H172:H203" si="18">IFERROR(E172*G172,"")</f>
        <v>0</v>
      </c>
      <c r="I172" s="41">
        <f t="shared" ref="I172:I201" si="19">IFERROR(F172*G172*1.5,"")</f>
        <v>0</v>
      </c>
      <c r="J172" s="41">
        <f t="shared" ref="J172:J203" si="20">IFERROR(H172+I172,"")</f>
        <v>0</v>
      </c>
      <c r="K172" s="35"/>
    </row>
    <row r="173" spans="1:11" ht="15" customHeight="1" x14ac:dyDescent="0.3">
      <c r="A173" s="17"/>
      <c r="B173" s="17"/>
      <c r="C173" s="17"/>
      <c r="D173" s="17"/>
      <c r="E173" s="17"/>
      <c r="F173" s="17"/>
      <c r="G173" s="17"/>
      <c r="H173" s="28">
        <f t="shared" si="18"/>
        <v>0</v>
      </c>
      <c r="I173" s="28">
        <f t="shared" si="19"/>
        <v>0</v>
      </c>
      <c r="J173" s="28">
        <f t="shared" si="20"/>
        <v>0</v>
      </c>
      <c r="K173" s="17"/>
    </row>
    <row r="174" spans="1:11" ht="15" customHeight="1" x14ac:dyDescent="0.3">
      <c r="A174" s="35"/>
      <c r="B174" s="35"/>
      <c r="C174" s="35"/>
      <c r="D174" s="35"/>
      <c r="E174" s="35"/>
      <c r="F174" s="35"/>
      <c r="G174" s="35"/>
      <c r="H174" s="41">
        <f t="shared" si="18"/>
        <v>0</v>
      </c>
      <c r="I174" s="41">
        <f t="shared" si="19"/>
        <v>0</v>
      </c>
      <c r="J174" s="41">
        <f t="shared" si="20"/>
        <v>0</v>
      </c>
      <c r="K174" s="35"/>
    </row>
    <row r="175" spans="1:11" ht="15" customHeight="1" x14ac:dyDescent="0.3">
      <c r="A175" s="17"/>
      <c r="B175" s="17"/>
      <c r="C175" s="17"/>
      <c r="D175" s="17"/>
      <c r="E175" s="17"/>
      <c r="F175" s="17"/>
      <c r="G175" s="17"/>
      <c r="H175" s="28">
        <f t="shared" si="18"/>
        <v>0</v>
      </c>
      <c r="I175" s="28">
        <f t="shared" si="19"/>
        <v>0</v>
      </c>
      <c r="J175" s="28">
        <f t="shared" si="20"/>
        <v>0</v>
      </c>
      <c r="K175" s="17"/>
    </row>
    <row r="176" spans="1:11" ht="15" customHeight="1" x14ac:dyDescent="0.3">
      <c r="A176" s="35"/>
      <c r="B176" s="35"/>
      <c r="C176" s="35"/>
      <c r="D176" s="35"/>
      <c r="E176" s="35"/>
      <c r="F176" s="35"/>
      <c r="G176" s="35"/>
      <c r="H176" s="41">
        <f t="shared" si="18"/>
        <v>0</v>
      </c>
      <c r="I176" s="41">
        <f t="shared" si="19"/>
        <v>0</v>
      </c>
      <c r="J176" s="41">
        <f t="shared" si="20"/>
        <v>0</v>
      </c>
      <c r="K176" s="35"/>
    </row>
    <row r="177" spans="1:11" ht="15" customHeight="1" x14ac:dyDescent="0.3">
      <c r="A177" s="17"/>
      <c r="B177" s="17"/>
      <c r="C177" s="17"/>
      <c r="D177" s="17"/>
      <c r="E177" s="17"/>
      <c r="F177" s="17"/>
      <c r="G177" s="17"/>
      <c r="H177" s="28">
        <f t="shared" si="18"/>
        <v>0</v>
      </c>
      <c r="I177" s="28">
        <f t="shared" si="19"/>
        <v>0</v>
      </c>
      <c r="J177" s="28">
        <f t="shared" si="20"/>
        <v>0</v>
      </c>
      <c r="K177" s="17"/>
    </row>
    <row r="178" spans="1:11" ht="15" customHeight="1" x14ac:dyDescent="0.3">
      <c r="A178" s="35"/>
      <c r="B178" s="35"/>
      <c r="C178" s="35"/>
      <c r="D178" s="35"/>
      <c r="E178" s="35"/>
      <c r="F178" s="35"/>
      <c r="G178" s="35"/>
      <c r="H178" s="41">
        <f t="shared" si="18"/>
        <v>0</v>
      </c>
      <c r="I178" s="41">
        <f t="shared" si="19"/>
        <v>0</v>
      </c>
      <c r="J178" s="41">
        <f t="shared" si="20"/>
        <v>0</v>
      </c>
      <c r="K178" s="35"/>
    </row>
    <row r="179" spans="1:11" ht="15" customHeight="1" x14ac:dyDescent="0.3">
      <c r="A179" s="17"/>
      <c r="B179" s="17"/>
      <c r="C179" s="17"/>
      <c r="D179" s="17"/>
      <c r="E179" s="17"/>
      <c r="F179" s="17"/>
      <c r="G179" s="17"/>
      <c r="H179" s="28">
        <f t="shared" si="18"/>
        <v>0</v>
      </c>
      <c r="I179" s="28">
        <f t="shared" si="19"/>
        <v>0</v>
      </c>
      <c r="J179" s="28">
        <f t="shared" si="20"/>
        <v>0</v>
      </c>
      <c r="K179" s="17"/>
    </row>
    <row r="180" spans="1:11" ht="15" customHeight="1" x14ac:dyDescent="0.3">
      <c r="A180" s="35"/>
      <c r="B180" s="35"/>
      <c r="C180" s="35"/>
      <c r="D180" s="35"/>
      <c r="E180" s="35"/>
      <c r="F180" s="35"/>
      <c r="G180" s="35"/>
      <c r="H180" s="41">
        <f t="shared" si="18"/>
        <v>0</v>
      </c>
      <c r="I180" s="41">
        <f t="shared" si="19"/>
        <v>0</v>
      </c>
      <c r="J180" s="41">
        <f t="shared" si="20"/>
        <v>0</v>
      </c>
      <c r="K180" s="35"/>
    </row>
    <row r="181" spans="1:11" ht="15" customHeight="1" x14ac:dyDescent="0.3">
      <c r="A181" s="17"/>
      <c r="B181" s="17"/>
      <c r="C181" s="17"/>
      <c r="D181" s="17"/>
      <c r="E181" s="17"/>
      <c r="F181" s="17"/>
      <c r="G181" s="17"/>
      <c r="H181" s="28">
        <f t="shared" si="18"/>
        <v>0</v>
      </c>
      <c r="I181" s="28">
        <f t="shared" si="19"/>
        <v>0</v>
      </c>
      <c r="J181" s="28">
        <f t="shared" si="20"/>
        <v>0</v>
      </c>
      <c r="K181" s="17"/>
    </row>
    <row r="182" spans="1:11" ht="15" customHeight="1" x14ac:dyDescent="0.3">
      <c r="A182" s="35"/>
      <c r="B182" s="35"/>
      <c r="C182" s="35"/>
      <c r="D182" s="35"/>
      <c r="E182" s="35"/>
      <c r="F182" s="35"/>
      <c r="G182" s="35"/>
      <c r="H182" s="41">
        <f t="shared" si="18"/>
        <v>0</v>
      </c>
      <c r="I182" s="41">
        <f t="shared" si="19"/>
        <v>0</v>
      </c>
      <c r="J182" s="41">
        <f t="shared" si="20"/>
        <v>0</v>
      </c>
      <c r="K182" s="35"/>
    </row>
    <row r="183" spans="1:11" ht="15" customHeight="1" x14ac:dyDescent="0.3">
      <c r="A183" s="17"/>
      <c r="B183" s="17"/>
      <c r="C183" s="17"/>
      <c r="D183" s="17"/>
      <c r="E183" s="17"/>
      <c r="F183" s="17"/>
      <c r="G183" s="17"/>
      <c r="H183" s="28">
        <f t="shared" si="18"/>
        <v>0</v>
      </c>
      <c r="I183" s="28">
        <f t="shared" si="19"/>
        <v>0</v>
      </c>
      <c r="J183" s="28">
        <f t="shared" si="20"/>
        <v>0</v>
      </c>
      <c r="K183" s="17"/>
    </row>
    <row r="184" spans="1:11" ht="15" customHeight="1" x14ac:dyDescent="0.3">
      <c r="A184" s="35"/>
      <c r="B184" s="35"/>
      <c r="C184" s="35"/>
      <c r="D184" s="35"/>
      <c r="E184" s="35"/>
      <c r="F184" s="35"/>
      <c r="G184" s="35"/>
      <c r="H184" s="41">
        <f t="shared" si="18"/>
        <v>0</v>
      </c>
      <c r="I184" s="41">
        <f t="shared" si="19"/>
        <v>0</v>
      </c>
      <c r="J184" s="41">
        <f t="shared" si="20"/>
        <v>0</v>
      </c>
      <c r="K184" s="35"/>
    </row>
    <row r="185" spans="1:11" ht="15" customHeight="1" x14ac:dyDescent="0.3">
      <c r="A185" s="17"/>
      <c r="B185" s="17"/>
      <c r="C185" s="17"/>
      <c r="D185" s="17"/>
      <c r="E185" s="17"/>
      <c r="F185" s="17"/>
      <c r="G185" s="17"/>
      <c r="H185" s="28">
        <f t="shared" si="18"/>
        <v>0</v>
      </c>
      <c r="I185" s="28">
        <f t="shared" si="19"/>
        <v>0</v>
      </c>
      <c r="J185" s="28">
        <f t="shared" si="20"/>
        <v>0</v>
      </c>
      <c r="K185" s="17"/>
    </row>
    <row r="186" spans="1:11" ht="15" customHeight="1" x14ac:dyDescent="0.3">
      <c r="A186" s="35"/>
      <c r="B186" s="35"/>
      <c r="C186" s="35"/>
      <c r="D186" s="35"/>
      <c r="E186" s="35"/>
      <c r="F186" s="35"/>
      <c r="G186" s="35"/>
      <c r="H186" s="41">
        <f t="shared" si="18"/>
        <v>0</v>
      </c>
      <c r="I186" s="41">
        <f t="shared" si="19"/>
        <v>0</v>
      </c>
      <c r="J186" s="41">
        <f t="shared" si="20"/>
        <v>0</v>
      </c>
      <c r="K186" s="35"/>
    </row>
    <row r="187" spans="1:11" ht="15" customHeight="1" x14ac:dyDescent="0.3">
      <c r="A187" s="17"/>
      <c r="B187" s="17"/>
      <c r="C187" s="17"/>
      <c r="D187" s="17"/>
      <c r="E187" s="17"/>
      <c r="F187" s="17"/>
      <c r="G187" s="17"/>
      <c r="H187" s="28">
        <f t="shared" si="18"/>
        <v>0</v>
      </c>
      <c r="I187" s="28">
        <f t="shared" si="19"/>
        <v>0</v>
      </c>
      <c r="J187" s="28">
        <f t="shared" si="20"/>
        <v>0</v>
      </c>
      <c r="K187" s="17"/>
    </row>
    <row r="188" spans="1:11" ht="15" customHeight="1" x14ac:dyDescent="0.3">
      <c r="A188" s="35"/>
      <c r="B188" s="35"/>
      <c r="C188" s="35"/>
      <c r="D188" s="35"/>
      <c r="E188" s="35"/>
      <c r="F188" s="35"/>
      <c r="G188" s="35"/>
      <c r="H188" s="41">
        <f t="shared" si="18"/>
        <v>0</v>
      </c>
      <c r="I188" s="41">
        <f t="shared" si="19"/>
        <v>0</v>
      </c>
      <c r="J188" s="41">
        <f t="shared" si="20"/>
        <v>0</v>
      </c>
      <c r="K188" s="35"/>
    </row>
    <row r="189" spans="1:11" ht="15" customHeight="1" x14ac:dyDescent="0.3">
      <c r="A189" s="17"/>
      <c r="B189" s="17"/>
      <c r="C189" s="17"/>
      <c r="D189" s="17"/>
      <c r="E189" s="17"/>
      <c r="F189" s="17"/>
      <c r="G189" s="17"/>
      <c r="H189" s="28">
        <f t="shared" si="18"/>
        <v>0</v>
      </c>
      <c r="I189" s="28">
        <f t="shared" si="19"/>
        <v>0</v>
      </c>
      <c r="J189" s="28">
        <f t="shared" si="20"/>
        <v>0</v>
      </c>
      <c r="K189" s="17"/>
    </row>
    <row r="190" spans="1:11" ht="15" customHeight="1" x14ac:dyDescent="0.3">
      <c r="A190" s="35"/>
      <c r="B190" s="35"/>
      <c r="C190" s="35"/>
      <c r="D190" s="35"/>
      <c r="E190" s="35"/>
      <c r="F190" s="35"/>
      <c r="G190" s="35"/>
      <c r="H190" s="41">
        <f t="shared" si="18"/>
        <v>0</v>
      </c>
      <c r="I190" s="41">
        <f t="shared" si="19"/>
        <v>0</v>
      </c>
      <c r="J190" s="41">
        <f t="shared" si="20"/>
        <v>0</v>
      </c>
      <c r="K190" s="35"/>
    </row>
    <row r="191" spans="1:11" ht="15" customHeight="1" x14ac:dyDescent="0.3">
      <c r="A191" s="17"/>
      <c r="B191" s="17"/>
      <c r="C191" s="17"/>
      <c r="D191" s="17"/>
      <c r="E191" s="17"/>
      <c r="F191" s="17"/>
      <c r="G191" s="17"/>
      <c r="H191" s="28">
        <f t="shared" si="18"/>
        <v>0</v>
      </c>
      <c r="I191" s="28">
        <f t="shared" si="19"/>
        <v>0</v>
      </c>
      <c r="J191" s="28">
        <f t="shared" si="20"/>
        <v>0</v>
      </c>
      <c r="K191" s="17"/>
    </row>
    <row r="192" spans="1:11" ht="15" customHeight="1" x14ac:dyDescent="0.3">
      <c r="A192" s="35"/>
      <c r="B192" s="35"/>
      <c r="C192" s="35"/>
      <c r="D192" s="35"/>
      <c r="E192" s="35"/>
      <c r="F192" s="35"/>
      <c r="G192" s="35"/>
      <c r="H192" s="41">
        <f t="shared" si="18"/>
        <v>0</v>
      </c>
      <c r="I192" s="41">
        <f t="shared" si="19"/>
        <v>0</v>
      </c>
      <c r="J192" s="41">
        <f t="shared" si="20"/>
        <v>0</v>
      </c>
      <c r="K192" s="35"/>
    </row>
    <row r="193" spans="1:11" ht="15" customHeight="1" x14ac:dyDescent="0.3">
      <c r="A193" s="17"/>
      <c r="B193" s="17"/>
      <c r="C193" s="17"/>
      <c r="D193" s="17"/>
      <c r="E193" s="17"/>
      <c r="F193" s="17"/>
      <c r="G193" s="17"/>
      <c r="H193" s="28">
        <f t="shared" si="18"/>
        <v>0</v>
      </c>
      <c r="I193" s="28">
        <f t="shared" si="19"/>
        <v>0</v>
      </c>
      <c r="J193" s="28">
        <f t="shared" si="20"/>
        <v>0</v>
      </c>
      <c r="K193" s="17"/>
    </row>
    <row r="194" spans="1:11" ht="15" customHeight="1" x14ac:dyDescent="0.3">
      <c r="A194" s="35"/>
      <c r="B194" s="35"/>
      <c r="C194" s="35"/>
      <c r="D194" s="35"/>
      <c r="E194" s="35"/>
      <c r="F194" s="35"/>
      <c r="G194" s="35"/>
      <c r="H194" s="41">
        <f t="shared" si="18"/>
        <v>0</v>
      </c>
      <c r="I194" s="41">
        <f t="shared" si="19"/>
        <v>0</v>
      </c>
      <c r="J194" s="41">
        <f t="shared" si="20"/>
        <v>0</v>
      </c>
      <c r="K194" s="35"/>
    </row>
    <row r="195" spans="1:11" ht="15" customHeight="1" x14ac:dyDescent="0.3">
      <c r="A195" s="17"/>
      <c r="B195" s="17"/>
      <c r="C195" s="17"/>
      <c r="D195" s="17"/>
      <c r="E195" s="17"/>
      <c r="F195" s="17"/>
      <c r="G195" s="17"/>
      <c r="H195" s="28">
        <f t="shared" si="18"/>
        <v>0</v>
      </c>
      <c r="I195" s="28">
        <f t="shared" si="19"/>
        <v>0</v>
      </c>
      <c r="J195" s="28">
        <f t="shared" si="20"/>
        <v>0</v>
      </c>
      <c r="K195" s="17"/>
    </row>
    <row r="196" spans="1:11" ht="15" customHeight="1" x14ac:dyDescent="0.3">
      <c r="A196" s="35"/>
      <c r="B196" s="35"/>
      <c r="C196" s="35"/>
      <c r="D196" s="35"/>
      <c r="E196" s="35"/>
      <c r="F196" s="35"/>
      <c r="G196" s="35"/>
      <c r="H196" s="41">
        <f t="shared" si="18"/>
        <v>0</v>
      </c>
      <c r="I196" s="41">
        <f t="shared" si="19"/>
        <v>0</v>
      </c>
      <c r="J196" s="41">
        <f t="shared" si="20"/>
        <v>0</v>
      </c>
      <c r="K196" s="35"/>
    </row>
    <row r="197" spans="1:11" ht="15" customHeight="1" x14ac:dyDescent="0.3">
      <c r="A197" s="17"/>
      <c r="B197" s="17"/>
      <c r="C197" s="17"/>
      <c r="D197" s="17"/>
      <c r="E197" s="17"/>
      <c r="F197" s="17"/>
      <c r="G197" s="17"/>
      <c r="H197" s="28">
        <f t="shared" si="18"/>
        <v>0</v>
      </c>
      <c r="I197" s="28">
        <f t="shared" si="19"/>
        <v>0</v>
      </c>
      <c r="J197" s="28">
        <f t="shared" si="20"/>
        <v>0</v>
      </c>
      <c r="K197" s="17"/>
    </row>
    <row r="198" spans="1:11" ht="15" customHeight="1" x14ac:dyDescent="0.3">
      <c r="A198" s="35"/>
      <c r="B198" s="35"/>
      <c r="C198" s="35"/>
      <c r="D198" s="35"/>
      <c r="E198" s="35"/>
      <c r="F198" s="35"/>
      <c r="G198" s="35"/>
      <c r="H198" s="41">
        <f t="shared" si="18"/>
        <v>0</v>
      </c>
      <c r="I198" s="41">
        <f t="shared" si="19"/>
        <v>0</v>
      </c>
      <c r="J198" s="41">
        <f t="shared" si="20"/>
        <v>0</v>
      </c>
      <c r="K198" s="35"/>
    </row>
    <row r="199" spans="1:11" ht="15" customHeight="1" x14ac:dyDescent="0.3">
      <c r="A199" s="17"/>
      <c r="B199" s="17"/>
      <c r="C199" s="17"/>
      <c r="D199" s="17"/>
      <c r="E199" s="17"/>
      <c r="F199" s="17"/>
      <c r="G199" s="17"/>
      <c r="H199" s="28">
        <f t="shared" si="18"/>
        <v>0</v>
      </c>
      <c r="I199" s="28">
        <f t="shared" si="19"/>
        <v>0</v>
      </c>
      <c r="J199" s="28">
        <f t="shared" si="20"/>
        <v>0</v>
      </c>
      <c r="K199" s="17"/>
    </row>
    <row r="200" spans="1:11" ht="15" customHeight="1" x14ac:dyDescent="0.3">
      <c r="A200" s="35"/>
      <c r="B200" s="35"/>
      <c r="C200" s="35"/>
      <c r="D200" s="35"/>
      <c r="E200" s="35"/>
      <c r="F200" s="35"/>
      <c r="G200" s="35"/>
      <c r="H200" s="41">
        <f t="shared" si="18"/>
        <v>0</v>
      </c>
      <c r="I200" s="41">
        <f t="shared" si="19"/>
        <v>0</v>
      </c>
      <c r="J200" s="41">
        <f t="shared" si="20"/>
        <v>0</v>
      </c>
      <c r="K200" s="35"/>
    </row>
    <row r="201" spans="1:11" ht="15" customHeight="1" x14ac:dyDescent="0.3">
      <c r="A201" s="17"/>
      <c r="B201" s="17"/>
      <c r="C201" s="17"/>
      <c r="D201" s="17"/>
      <c r="E201" s="17"/>
      <c r="F201" s="17"/>
      <c r="G201" s="17"/>
      <c r="H201" s="28">
        <f t="shared" si="18"/>
        <v>0</v>
      </c>
      <c r="I201" s="28">
        <f t="shared" si="19"/>
        <v>0</v>
      </c>
      <c r="J201" s="28">
        <f t="shared" si="20"/>
        <v>0</v>
      </c>
      <c r="K201" s="17"/>
    </row>
    <row r="203" spans="1:11" ht="15" customHeight="1" x14ac:dyDescent="0.3">
      <c r="A203" s="105" t="s">
        <v>94</v>
      </c>
      <c r="B203" s="105"/>
      <c r="C203" s="105"/>
      <c r="D203" s="105"/>
      <c r="E203" s="42">
        <f>SUM(E4:E202)</f>
        <v>63</v>
      </c>
      <c r="F203" s="42">
        <f>SUM(F4:F202)</f>
        <v>6</v>
      </c>
      <c r="H203" s="43">
        <f>SUM(H4:H202)</f>
        <v>1019</v>
      </c>
      <c r="I203" s="43">
        <f>SUM(I4:I202)</f>
        <v>136.5</v>
      </c>
      <c r="J203" s="43">
        <f>SUM(J4:J202)</f>
        <v>1155.5</v>
      </c>
    </row>
  </sheetData>
  <mergeCells count="3">
    <mergeCell ref="A1:K1"/>
    <mergeCell ref="A2:K2"/>
    <mergeCell ref="A203:D20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03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28" customWidth="1"/>
    <col min="3" max="3" width="18" customWidth="1"/>
    <col min="4" max="4" width="20" customWidth="1"/>
    <col min="5" max="5" width="10" customWidth="1"/>
    <col min="6" max="6" width="8" customWidth="1"/>
    <col min="7" max="7" width="18" customWidth="1"/>
    <col min="8" max="8" width="16" customWidth="1"/>
    <col min="9" max="9" width="13" customWidth="1"/>
    <col min="10" max="10" width="14" customWidth="1"/>
    <col min="11" max="11" width="15" customWidth="1"/>
  </cols>
  <sheetData>
    <row r="1" spans="1:11" ht="31.5" customHeight="1" x14ac:dyDescent="0.3">
      <c r="A1" s="106" t="s">
        <v>124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</row>
    <row r="2" spans="1:11" ht="15" customHeight="1" x14ac:dyDescent="0.3">
      <c r="A2" s="102" t="s">
        <v>125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</row>
    <row r="3" spans="1:11" ht="21.75" customHeight="1" x14ac:dyDescent="0.3">
      <c r="A3" s="44" t="s">
        <v>16</v>
      </c>
      <c r="B3" s="44" t="s">
        <v>126</v>
      </c>
      <c r="C3" s="44" t="s">
        <v>58</v>
      </c>
      <c r="D3" s="44" t="s">
        <v>127</v>
      </c>
      <c r="E3" s="44" t="s">
        <v>128</v>
      </c>
      <c r="F3" s="44" t="s">
        <v>129</v>
      </c>
      <c r="G3" s="44" t="s">
        <v>130</v>
      </c>
      <c r="H3" s="44" t="s">
        <v>105</v>
      </c>
      <c r="I3" s="44" t="s">
        <v>131</v>
      </c>
      <c r="J3" s="44" t="s">
        <v>132</v>
      </c>
      <c r="K3" s="44" t="s">
        <v>133</v>
      </c>
    </row>
    <row r="4" spans="1:11" ht="15" customHeight="1" x14ac:dyDescent="0.3">
      <c r="A4" s="45" t="s">
        <v>26</v>
      </c>
      <c r="B4" s="45" t="s">
        <v>134</v>
      </c>
      <c r="C4" s="45" t="s">
        <v>135</v>
      </c>
      <c r="D4" s="45" t="s">
        <v>136</v>
      </c>
      <c r="E4" s="45">
        <v>200</v>
      </c>
      <c r="F4" s="45" t="s">
        <v>137</v>
      </c>
      <c r="G4" s="46">
        <v>7.5</v>
      </c>
      <c r="H4" s="47">
        <f t="shared" ref="H4:H10" si="0">E4*G4</f>
        <v>1500</v>
      </c>
      <c r="I4" s="48" t="s">
        <v>138</v>
      </c>
      <c r="J4" s="45" t="s">
        <v>139</v>
      </c>
      <c r="K4" s="45" t="s">
        <v>140</v>
      </c>
    </row>
    <row r="5" spans="1:11" ht="15" customHeight="1" x14ac:dyDescent="0.3">
      <c r="A5" s="17" t="s">
        <v>26</v>
      </c>
      <c r="B5" s="17" t="s">
        <v>141</v>
      </c>
      <c r="C5" s="17" t="s">
        <v>142</v>
      </c>
      <c r="D5" s="17" t="s">
        <v>143</v>
      </c>
      <c r="E5" s="17">
        <v>500</v>
      </c>
      <c r="F5" s="17" t="s">
        <v>144</v>
      </c>
      <c r="G5" s="25">
        <v>2.2000000000000002</v>
      </c>
      <c r="H5" s="49">
        <f t="shared" si="0"/>
        <v>1100</v>
      </c>
      <c r="I5" s="18" t="s">
        <v>145</v>
      </c>
      <c r="J5" s="17" t="s">
        <v>146</v>
      </c>
      <c r="K5" s="17" t="s">
        <v>140</v>
      </c>
    </row>
    <row r="6" spans="1:11" ht="15" customHeight="1" x14ac:dyDescent="0.3">
      <c r="A6" s="45" t="s">
        <v>26</v>
      </c>
      <c r="B6" s="45" t="s">
        <v>147</v>
      </c>
      <c r="C6" s="45" t="s">
        <v>82</v>
      </c>
      <c r="D6" s="45" t="s">
        <v>148</v>
      </c>
      <c r="E6" s="45">
        <v>2000</v>
      </c>
      <c r="F6" s="45" t="s">
        <v>149</v>
      </c>
      <c r="G6" s="46">
        <v>0.45</v>
      </c>
      <c r="H6" s="47">
        <f t="shared" si="0"/>
        <v>900</v>
      </c>
      <c r="I6" s="48" t="s">
        <v>40</v>
      </c>
      <c r="J6" s="45" t="s">
        <v>150</v>
      </c>
      <c r="K6" s="45" t="s">
        <v>140</v>
      </c>
    </row>
    <row r="7" spans="1:11" ht="15" customHeight="1" x14ac:dyDescent="0.3">
      <c r="A7" s="17" t="s">
        <v>26</v>
      </c>
      <c r="B7" s="17" t="s">
        <v>151</v>
      </c>
      <c r="C7" s="17" t="s">
        <v>152</v>
      </c>
      <c r="D7" s="17" t="s">
        <v>153</v>
      </c>
      <c r="E7" s="17">
        <v>300</v>
      </c>
      <c r="F7" s="17" t="s">
        <v>144</v>
      </c>
      <c r="G7" s="25">
        <v>1.8</v>
      </c>
      <c r="H7" s="49">
        <f t="shared" si="0"/>
        <v>540</v>
      </c>
      <c r="I7" s="18" t="s">
        <v>154</v>
      </c>
      <c r="J7" s="17" t="s">
        <v>155</v>
      </c>
      <c r="K7" s="17" t="s">
        <v>156</v>
      </c>
    </row>
    <row r="8" spans="1:11" ht="15" customHeight="1" x14ac:dyDescent="0.3">
      <c r="A8" s="45" t="s">
        <v>36</v>
      </c>
      <c r="B8" s="45" t="s">
        <v>157</v>
      </c>
      <c r="C8" s="45" t="s">
        <v>158</v>
      </c>
      <c r="D8" s="45" t="s">
        <v>159</v>
      </c>
      <c r="E8" s="45">
        <v>180</v>
      </c>
      <c r="F8" s="45" t="s">
        <v>160</v>
      </c>
      <c r="G8" s="46">
        <v>18.5</v>
      </c>
      <c r="H8" s="47">
        <f t="shared" si="0"/>
        <v>3330</v>
      </c>
      <c r="I8" s="48" t="s">
        <v>161</v>
      </c>
      <c r="J8" s="45" t="s">
        <v>162</v>
      </c>
      <c r="K8" s="45" t="s">
        <v>140</v>
      </c>
    </row>
    <row r="9" spans="1:11" ht="15" customHeight="1" x14ac:dyDescent="0.3">
      <c r="A9" s="17" t="s">
        <v>36</v>
      </c>
      <c r="B9" s="17" t="s">
        <v>163</v>
      </c>
      <c r="C9" s="17" t="s">
        <v>158</v>
      </c>
      <c r="D9" s="17" t="s">
        <v>164</v>
      </c>
      <c r="E9" s="17">
        <v>250</v>
      </c>
      <c r="F9" s="17" t="s">
        <v>160</v>
      </c>
      <c r="G9" s="25">
        <v>22</v>
      </c>
      <c r="H9" s="49">
        <f t="shared" si="0"/>
        <v>5500</v>
      </c>
      <c r="I9" s="18" t="s">
        <v>161</v>
      </c>
      <c r="J9" s="17" t="s">
        <v>165</v>
      </c>
      <c r="K9" s="17" t="s">
        <v>166</v>
      </c>
    </row>
    <row r="10" spans="1:11" ht="15" customHeight="1" x14ac:dyDescent="0.3">
      <c r="A10" s="45" t="s">
        <v>46</v>
      </c>
      <c r="B10" s="45" t="s">
        <v>167</v>
      </c>
      <c r="C10" s="45" t="s">
        <v>135</v>
      </c>
      <c r="D10" s="45" t="s">
        <v>168</v>
      </c>
      <c r="E10" s="45">
        <v>80</v>
      </c>
      <c r="F10" s="45" t="s">
        <v>169</v>
      </c>
      <c r="G10" s="46">
        <v>95</v>
      </c>
      <c r="H10" s="47">
        <f t="shared" si="0"/>
        <v>7600</v>
      </c>
      <c r="I10" s="48" t="s">
        <v>170</v>
      </c>
      <c r="J10" s="45"/>
      <c r="K10" s="45" t="s">
        <v>79</v>
      </c>
    </row>
    <row r="11" spans="1:11" ht="15" customHeight="1" x14ac:dyDescent="0.3">
      <c r="A11" s="17"/>
      <c r="B11" s="17"/>
      <c r="C11" s="17"/>
      <c r="D11" s="17"/>
      <c r="E11" s="17"/>
      <c r="F11" s="17"/>
      <c r="G11" s="17"/>
      <c r="H11" s="28">
        <f t="shared" ref="H11:H74" si="1">IFERROR(E11*G11,"")</f>
        <v>0</v>
      </c>
      <c r="I11" s="17"/>
      <c r="J11" s="17"/>
      <c r="K11" s="17"/>
    </row>
    <row r="12" spans="1:11" ht="15" customHeight="1" x14ac:dyDescent="0.3">
      <c r="A12" s="45"/>
      <c r="B12" s="45"/>
      <c r="C12" s="45"/>
      <c r="D12" s="45"/>
      <c r="E12" s="45"/>
      <c r="F12" s="45"/>
      <c r="G12" s="45"/>
      <c r="H12" s="50">
        <f t="shared" si="1"/>
        <v>0</v>
      </c>
      <c r="I12" s="45"/>
      <c r="J12" s="45"/>
      <c r="K12" s="45"/>
    </row>
    <row r="13" spans="1:11" ht="15" customHeight="1" x14ac:dyDescent="0.3">
      <c r="A13" s="17"/>
      <c r="B13" s="17"/>
      <c r="C13" s="17"/>
      <c r="D13" s="17"/>
      <c r="E13" s="17"/>
      <c r="F13" s="17"/>
      <c r="G13" s="17"/>
      <c r="H13" s="28">
        <f t="shared" si="1"/>
        <v>0</v>
      </c>
      <c r="I13" s="17"/>
      <c r="J13" s="17"/>
      <c r="K13" s="17"/>
    </row>
    <row r="14" spans="1:11" ht="15" customHeight="1" x14ac:dyDescent="0.3">
      <c r="A14" s="45"/>
      <c r="B14" s="45"/>
      <c r="C14" s="45"/>
      <c r="D14" s="45"/>
      <c r="E14" s="45"/>
      <c r="F14" s="45"/>
      <c r="G14" s="45"/>
      <c r="H14" s="50">
        <f t="shared" si="1"/>
        <v>0</v>
      </c>
      <c r="I14" s="45"/>
      <c r="J14" s="45"/>
      <c r="K14" s="45"/>
    </row>
    <row r="15" spans="1:11" ht="15" customHeight="1" x14ac:dyDescent="0.3">
      <c r="A15" s="17"/>
      <c r="B15" s="17"/>
      <c r="C15" s="17"/>
      <c r="D15" s="17"/>
      <c r="E15" s="17"/>
      <c r="F15" s="17"/>
      <c r="G15" s="17"/>
      <c r="H15" s="28">
        <f t="shared" si="1"/>
        <v>0</v>
      </c>
      <c r="I15" s="17"/>
      <c r="J15" s="17"/>
      <c r="K15" s="17"/>
    </row>
    <row r="16" spans="1:11" ht="15" customHeight="1" x14ac:dyDescent="0.3">
      <c r="A16" s="45"/>
      <c r="B16" s="45"/>
      <c r="C16" s="45"/>
      <c r="D16" s="45"/>
      <c r="E16" s="45"/>
      <c r="F16" s="45"/>
      <c r="G16" s="45"/>
      <c r="H16" s="50">
        <f t="shared" si="1"/>
        <v>0</v>
      </c>
      <c r="I16" s="45"/>
      <c r="J16" s="45"/>
      <c r="K16" s="45"/>
    </row>
    <row r="17" spans="1:11" ht="15" customHeight="1" x14ac:dyDescent="0.3">
      <c r="A17" s="17"/>
      <c r="B17" s="17"/>
      <c r="C17" s="17"/>
      <c r="D17" s="17"/>
      <c r="E17" s="17"/>
      <c r="F17" s="17"/>
      <c r="G17" s="17"/>
      <c r="H17" s="28">
        <f t="shared" si="1"/>
        <v>0</v>
      </c>
      <c r="I17" s="17"/>
      <c r="J17" s="17"/>
      <c r="K17" s="17"/>
    </row>
    <row r="18" spans="1:11" ht="15" customHeight="1" x14ac:dyDescent="0.3">
      <c r="A18" s="45"/>
      <c r="B18" s="45"/>
      <c r="C18" s="45"/>
      <c r="D18" s="45"/>
      <c r="E18" s="45"/>
      <c r="F18" s="45"/>
      <c r="G18" s="45"/>
      <c r="H18" s="50">
        <f t="shared" si="1"/>
        <v>0</v>
      </c>
      <c r="I18" s="45"/>
      <c r="J18" s="45"/>
      <c r="K18" s="45"/>
    </row>
    <row r="19" spans="1:11" ht="15" customHeight="1" x14ac:dyDescent="0.3">
      <c r="A19" s="17"/>
      <c r="B19" s="17"/>
      <c r="C19" s="17"/>
      <c r="D19" s="17"/>
      <c r="E19" s="17"/>
      <c r="F19" s="17"/>
      <c r="G19" s="17"/>
      <c r="H19" s="28">
        <f t="shared" si="1"/>
        <v>0</v>
      </c>
      <c r="I19" s="17"/>
      <c r="J19" s="17"/>
      <c r="K19" s="17"/>
    </row>
    <row r="20" spans="1:11" ht="15" customHeight="1" x14ac:dyDescent="0.3">
      <c r="A20" s="45"/>
      <c r="B20" s="45"/>
      <c r="C20" s="45"/>
      <c r="D20" s="45"/>
      <c r="E20" s="45"/>
      <c r="F20" s="45"/>
      <c r="G20" s="45"/>
      <c r="H20" s="50">
        <f t="shared" si="1"/>
        <v>0</v>
      </c>
      <c r="I20" s="45"/>
      <c r="J20" s="45"/>
      <c r="K20" s="45"/>
    </row>
    <row r="21" spans="1:11" ht="15" customHeight="1" x14ac:dyDescent="0.3">
      <c r="A21" s="17"/>
      <c r="B21" s="17"/>
      <c r="C21" s="17"/>
      <c r="D21" s="17"/>
      <c r="E21" s="17"/>
      <c r="F21" s="17"/>
      <c r="G21" s="17"/>
      <c r="H21" s="28">
        <f t="shared" si="1"/>
        <v>0</v>
      </c>
      <c r="I21" s="17"/>
      <c r="J21" s="17"/>
      <c r="K21" s="17"/>
    </row>
    <row r="22" spans="1:11" ht="15" customHeight="1" x14ac:dyDescent="0.3">
      <c r="A22" s="45"/>
      <c r="B22" s="45"/>
      <c r="C22" s="45"/>
      <c r="D22" s="45"/>
      <c r="E22" s="45"/>
      <c r="F22" s="45"/>
      <c r="G22" s="45"/>
      <c r="H22" s="50">
        <f t="shared" si="1"/>
        <v>0</v>
      </c>
      <c r="I22" s="45"/>
      <c r="J22" s="45"/>
      <c r="K22" s="45"/>
    </row>
    <row r="23" spans="1:11" ht="15" customHeight="1" x14ac:dyDescent="0.3">
      <c r="A23" s="17"/>
      <c r="B23" s="17"/>
      <c r="C23" s="17"/>
      <c r="D23" s="17"/>
      <c r="E23" s="17"/>
      <c r="F23" s="17"/>
      <c r="G23" s="17"/>
      <c r="H23" s="28">
        <f t="shared" si="1"/>
        <v>0</v>
      </c>
      <c r="I23" s="17"/>
      <c r="J23" s="17"/>
      <c r="K23" s="17"/>
    </row>
    <row r="24" spans="1:11" ht="15" customHeight="1" x14ac:dyDescent="0.3">
      <c r="A24" s="45"/>
      <c r="B24" s="45"/>
      <c r="C24" s="45"/>
      <c r="D24" s="45"/>
      <c r="E24" s="45"/>
      <c r="F24" s="45"/>
      <c r="G24" s="45"/>
      <c r="H24" s="50">
        <f t="shared" si="1"/>
        <v>0</v>
      </c>
      <c r="I24" s="45"/>
      <c r="J24" s="45"/>
      <c r="K24" s="45"/>
    </row>
    <row r="25" spans="1:11" ht="15" customHeight="1" x14ac:dyDescent="0.3">
      <c r="A25" s="17"/>
      <c r="B25" s="17"/>
      <c r="C25" s="17"/>
      <c r="D25" s="17"/>
      <c r="E25" s="17"/>
      <c r="F25" s="17"/>
      <c r="G25" s="17"/>
      <c r="H25" s="28">
        <f t="shared" si="1"/>
        <v>0</v>
      </c>
      <c r="I25" s="17"/>
      <c r="J25" s="17"/>
      <c r="K25" s="17"/>
    </row>
    <row r="26" spans="1:11" ht="15" customHeight="1" x14ac:dyDescent="0.3">
      <c r="A26" s="45"/>
      <c r="B26" s="45"/>
      <c r="C26" s="45"/>
      <c r="D26" s="45"/>
      <c r="E26" s="45"/>
      <c r="F26" s="45"/>
      <c r="G26" s="45"/>
      <c r="H26" s="50">
        <f t="shared" si="1"/>
        <v>0</v>
      </c>
      <c r="I26" s="45"/>
      <c r="J26" s="45"/>
      <c r="K26" s="45"/>
    </row>
    <row r="27" spans="1:11" ht="15" customHeight="1" x14ac:dyDescent="0.3">
      <c r="A27" s="17"/>
      <c r="B27" s="17"/>
      <c r="C27" s="17"/>
      <c r="D27" s="17"/>
      <c r="E27" s="17"/>
      <c r="F27" s="17"/>
      <c r="G27" s="17"/>
      <c r="H27" s="28">
        <f t="shared" si="1"/>
        <v>0</v>
      </c>
      <c r="I27" s="17"/>
      <c r="J27" s="17"/>
      <c r="K27" s="17"/>
    </row>
    <row r="28" spans="1:11" ht="15" customHeight="1" x14ac:dyDescent="0.3">
      <c r="A28" s="45"/>
      <c r="B28" s="45"/>
      <c r="C28" s="45"/>
      <c r="D28" s="45"/>
      <c r="E28" s="45"/>
      <c r="F28" s="45"/>
      <c r="G28" s="45"/>
      <c r="H28" s="50">
        <f t="shared" si="1"/>
        <v>0</v>
      </c>
      <c r="I28" s="45"/>
      <c r="J28" s="45"/>
      <c r="K28" s="45"/>
    </row>
    <row r="29" spans="1:11" ht="15" customHeight="1" x14ac:dyDescent="0.3">
      <c r="A29" s="17"/>
      <c r="B29" s="17"/>
      <c r="C29" s="17"/>
      <c r="D29" s="17"/>
      <c r="E29" s="17"/>
      <c r="F29" s="17"/>
      <c r="G29" s="17"/>
      <c r="H29" s="28">
        <f t="shared" si="1"/>
        <v>0</v>
      </c>
      <c r="I29" s="17"/>
      <c r="J29" s="17"/>
      <c r="K29" s="17"/>
    </row>
    <row r="30" spans="1:11" ht="15" customHeight="1" x14ac:dyDescent="0.3">
      <c r="A30" s="45"/>
      <c r="B30" s="45"/>
      <c r="C30" s="45"/>
      <c r="D30" s="45"/>
      <c r="E30" s="45"/>
      <c r="F30" s="45"/>
      <c r="G30" s="45"/>
      <c r="H30" s="50">
        <f t="shared" si="1"/>
        <v>0</v>
      </c>
      <c r="I30" s="45"/>
      <c r="J30" s="45"/>
      <c r="K30" s="45"/>
    </row>
    <row r="31" spans="1:11" ht="15" customHeight="1" x14ac:dyDescent="0.3">
      <c r="A31" s="17"/>
      <c r="B31" s="17"/>
      <c r="C31" s="17"/>
      <c r="D31" s="17"/>
      <c r="E31" s="17"/>
      <c r="F31" s="17"/>
      <c r="G31" s="17"/>
      <c r="H31" s="28">
        <f t="shared" si="1"/>
        <v>0</v>
      </c>
      <c r="I31" s="17"/>
      <c r="J31" s="17"/>
      <c r="K31" s="17"/>
    </row>
    <row r="32" spans="1:11" ht="15" customHeight="1" x14ac:dyDescent="0.3">
      <c r="A32" s="45"/>
      <c r="B32" s="45"/>
      <c r="C32" s="45"/>
      <c r="D32" s="45"/>
      <c r="E32" s="45"/>
      <c r="F32" s="45"/>
      <c r="G32" s="45"/>
      <c r="H32" s="50">
        <f t="shared" si="1"/>
        <v>0</v>
      </c>
      <c r="I32" s="45"/>
      <c r="J32" s="45"/>
      <c r="K32" s="45"/>
    </row>
    <row r="33" spans="1:11" ht="15" customHeight="1" x14ac:dyDescent="0.3">
      <c r="A33" s="17"/>
      <c r="B33" s="17"/>
      <c r="C33" s="17"/>
      <c r="D33" s="17"/>
      <c r="E33" s="17"/>
      <c r="F33" s="17"/>
      <c r="G33" s="17"/>
      <c r="H33" s="28">
        <f t="shared" si="1"/>
        <v>0</v>
      </c>
      <c r="I33" s="17"/>
      <c r="J33" s="17"/>
      <c r="K33" s="17"/>
    </row>
    <row r="34" spans="1:11" ht="15" customHeight="1" x14ac:dyDescent="0.3">
      <c r="A34" s="45"/>
      <c r="B34" s="45"/>
      <c r="C34" s="45"/>
      <c r="D34" s="45"/>
      <c r="E34" s="45"/>
      <c r="F34" s="45"/>
      <c r="G34" s="45"/>
      <c r="H34" s="50">
        <f t="shared" si="1"/>
        <v>0</v>
      </c>
      <c r="I34" s="45"/>
      <c r="J34" s="45"/>
      <c r="K34" s="45"/>
    </row>
    <row r="35" spans="1:11" ht="15" customHeight="1" x14ac:dyDescent="0.3">
      <c r="A35" s="17"/>
      <c r="B35" s="17"/>
      <c r="C35" s="17"/>
      <c r="D35" s="17"/>
      <c r="E35" s="17"/>
      <c r="F35" s="17"/>
      <c r="G35" s="17"/>
      <c r="H35" s="28">
        <f t="shared" si="1"/>
        <v>0</v>
      </c>
      <c r="I35" s="17"/>
      <c r="J35" s="17"/>
      <c r="K35" s="17"/>
    </row>
    <row r="36" spans="1:11" ht="15" customHeight="1" x14ac:dyDescent="0.3">
      <c r="A36" s="45"/>
      <c r="B36" s="45"/>
      <c r="C36" s="45"/>
      <c r="D36" s="45"/>
      <c r="E36" s="45"/>
      <c r="F36" s="45"/>
      <c r="G36" s="45"/>
      <c r="H36" s="50">
        <f t="shared" si="1"/>
        <v>0</v>
      </c>
      <c r="I36" s="45"/>
      <c r="J36" s="45"/>
      <c r="K36" s="45"/>
    </row>
    <row r="37" spans="1:11" ht="15" customHeight="1" x14ac:dyDescent="0.3">
      <c r="A37" s="17"/>
      <c r="B37" s="17"/>
      <c r="C37" s="17"/>
      <c r="D37" s="17"/>
      <c r="E37" s="17"/>
      <c r="F37" s="17"/>
      <c r="G37" s="17"/>
      <c r="H37" s="28">
        <f t="shared" si="1"/>
        <v>0</v>
      </c>
      <c r="I37" s="17"/>
      <c r="J37" s="17"/>
      <c r="K37" s="17"/>
    </row>
    <row r="38" spans="1:11" ht="15" customHeight="1" x14ac:dyDescent="0.3">
      <c r="A38" s="45"/>
      <c r="B38" s="45"/>
      <c r="C38" s="45"/>
      <c r="D38" s="45"/>
      <c r="E38" s="45"/>
      <c r="F38" s="45"/>
      <c r="G38" s="45"/>
      <c r="H38" s="50">
        <f t="shared" si="1"/>
        <v>0</v>
      </c>
      <c r="I38" s="45"/>
      <c r="J38" s="45"/>
      <c r="K38" s="45"/>
    </row>
    <row r="39" spans="1:11" ht="15" customHeight="1" x14ac:dyDescent="0.3">
      <c r="A39" s="17"/>
      <c r="B39" s="17"/>
      <c r="C39" s="17"/>
      <c r="D39" s="17"/>
      <c r="E39" s="17"/>
      <c r="F39" s="17"/>
      <c r="G39" s="17"/>
      <c r="H39" s="28">
        <f t="shared" si="1"/>
        <v>0</v>
      </c>
      <c r="I39" s="17"/>
      <c r="J39" s="17"/>
      <c r="K39" s="17"/>
    </row>
    <row r="40" spans="1:11" ht="15" customHeight="1" x14ac:dyDescent="0.3">
      <c r="A40" s="45"/>
      <c r="B40" s="45"/>
      <c r="C40" s="45"/>
      <c r="D40" s="45"/>
      <c r="E40" s="45"/>
      <c r="F40" s="45"/>
      <c r="G40" s="45"/>
      <c r="H40" s="50">
        <f t="shared" si="1"/>
        <v>0</v>
      </c>
      <c r="I40" s="45"/>
      <c r="J40" s="45"/>
      <c r="K40" s="45"/>
    </row>
    <row r="41" spans="1:11" ht="15" customHeight="1" x14ac:dyDescent="0.3">
      <c r="A41" s="17"/>
      <c r="B41" s="17"/>
      <c r="C41" s="17"/>
      <c r="D41" s="17"/>
      <c r="E41" s="17"/>
      <c r="F41" s="17"/>
      <c r="G41" s="17"/>
      <c r="H41" s="28">
        <f t="shared" si="1"/>
        <v>0</v>
      </c>
      <c r="I41" s="17"/>
      <c r="J41" s="17"/>
      <c r="K41" s="17"/>
    </row>
    <row r="42" spans="1:11" ht="15" customHeight="1" x14ac:dyDescent="0.3">
      <c r="A42" s="45"/>
      <c r="B42" s="45"/>
      <c r="C42" s="45"/>
      <c r="D42" s="45"/>
      <c r="E42" s="45"/>
      <c r="F42" s="45"/>
      <c r="G42" s="45"/>
      <c r="H42" s="50">
        <f t="shared" si="1"/>
        <v>0</v>
      </c>
      <c r="I42" s="45"/>
      <c r="J42" s="45"/>
      <c r="K42" s="45"/>
    </row>
    <row r="43" spans="1:11" ht="15" customHeight="1" x14ac:dyDescent="0.3">
      <c r="A43" s="17"/>
      <c r="B43" s="17"/>
      <c r="C43" s="17"/>
      <c r="D43" s="17"/>
      <c r="E43" s="17"/>
      <c r="F43" s="17"/>
      <c r="G43" s="17"/>
      <c r="H43" s="28">
        <f t="shared" si="1"/>
        <v>0</v>
      </c>
      <c r="I43" s="17"/>
      <c r="J43" s="17"/>
      <c r="K43" s="17"/>
    </row>
    <row r="44" spans="1:11" ht="15" customHeight="1" x14ac:dyDescent="0.3">
      <c r="A44" s="45"/>
      <c r="B44" s="45"/>
      <c r="C44" s="45"/>
      <c r="D44" s="45"/>
      <c r="E44" s="45"/>
      <c r="F44" s="45"/>
      <c r="G44" s="45"/>
      <c r="H44" s="50">
        <f t="shared" si="1"/>
        <v>0</v>
      </c>
      <c r="I44" s="45"/>
      <c r="J44" s="45"/>
      <c r="K44" s="45"/>
    </row>
    <row r="45" spans="1:11" ht="15" customHeight="1" x14ac:dyDescent="0.3">
      <c r="A45" s="17"/>
      <c r="B45" s="17"/>
      <c r="C45" s="17"/>
      <c r="D45" s="17"/>
      <c r="E45" s="17"/>
      <c r="F45" s="17"/>
      <c r="G45" s="17"/>
      <c r="H45" s="28">
        <f t="shared" si="1"/>
        <v>0</v>
      </c>
      <c r="I45" s="17"/>
      <c r="J45" s="17"/>
      <c r="K45" s="17"/>
    </row>
    <row r="46" spans="1:11" ht="15" customHeight="1" x14ac:dyDescent="0.3">
      <c r="A46" s="45"/>
      <c r="B46" s="45"/>
      <c r="C46" s="45"/>
      <c r="D46" s="45"/>
      <c r="E46" s="45"/>
      <c r="F46" s="45"/>
      <c r="G46" s="45"/>
      <c r="H46" s="50">
        <f t="shared" si="1"/>
        <v>0</v>
      </c>
      <c r="I46" s="45"/>
      <c r="J46" s="45"/>
      <c r="K46" s="45"/>
    </row>
    <row r="47" spans="1:11" ht="15" customHeight="1" x14ac:dyDescent="0.3">
      <c r="A47" s="17"/>
      <c r="B47" s="17"/>
      <c r="C47" s="17"/>
      <c r="D47" s="17"/>
      <c r="E47" s="17"/>
      <c r="F47" s="17"/>
      <c r="G47" s="17"/>
      <c r="H47" s="28">
        <f t="shared" si="1"/>
        <v>0</v>
      </c>
      <c r="I47" s="17"/>
      <c r="J47" s="17"/>
      <c r="K47" s="17"/>
    </row>
    <row r="48" spans="1:11" ht="15" customHeight="1" x14ac:dyDescent="0.3">
      <c r="A48" s="45"/>
      <c r="B48" s="45"/>
      <c r="C48" s="45"/>
      <c r="D48" s="45"/>
      <c r="E48" s="45"/>
      <c r="F48" s="45"/>
      <c r="G48" s="45"/>
      <c r="H48" s="50">
        <f t="shared" si="1"/>
        <v>0</v>
      </c>
      <c r="I48" s="45"/>
      <c r="J48" s="45"/>
      <c r="K48" s="45"/>
    </row>
    <row r="49" spans="1:11" ht="15" customHeight="1" x14ac:dyDescent="0.3">
      <c r="A49" s="17"/>
      <c r="B49" s="17"/>
      <c r="C49" s="17"/>
      <c r="D49" s="17"/>
      <c r="E49" s="17"/>
      <c r="F49" s="17"/>
      <c r="G49" s="17"/>
      <c r="H49" s="28">
        <f t="shared" si="1"/>
        <v>0</v>
      </c>
      <c r="I49" s="17"/>
      <c r="J49" s="17"/>
      <c r="K49" s="17"/>
    </row>
    <row r="50" spans="1:11" ht="15" customHeight="1" x14ac:dyDescent="0.3">
      <c r="A50" s="45"/>
      <c r="B50" s="45"/>
      <c r="C50" s="45"/>
      <c r="D50" s="45"/>
      <c r="E50" s="45"/>
      <c r="F50" s="45"/>
      <c r="G50" s="45"/>
      <c r="H50" s="50">
        <f t="shared" si="1"/>
        <v>0</v>
      </c>
      <c r="I50" s="45"/>
      <c r="J50" s="45"/>
      <c r="K50" s="45"/>
    </row>
    <row r="51" spans="1:11" ht="15" customHeight="1" x14ac:dyDescent="0.3">
      <c r="A51" s="17"/>
      <c r="B51" s="17"/>
      <c r="C51" s="17"/>
      <c r="D51" s="17"/>
      <c r="E51" s="17"/>
      <c r="F51" s="17"/>
      <c r="G51" s="17"/>
      <c r="H51" s="28">
        <f t="shared" si="1"/>
        <v>0</v>
      </c>
      <c r="I51" s="17"/>
      <c r="J51" s="17"/>
      <c r="K51" s="17"/>
    </row>
    <row r="52" spans="1:11" ht="15" customHeight="1" x14ac:dyDescent="0.3">
      <c r="A52" s="45"/>
      <c r="B52" s="45"/>
      <c r="C52" s="45"/>
      <c r="D52" s="45"/>
      <c r="E52" s="45"/>
      <c r="F52" s="45"/>
      <c r="G52" s="45"/>
      <c r="H52" s="50">
        <f t="shared" si="1"/>
        <v>0</v>
      </c>
      <c r="I52" s="45"/>
      <c r="J52" s="45"/>
      <c r="K52" s="45"/>
    </row>
    <row r="53" spans="1:11" ht="15" customHeight="1" x14ac:dyDescent="0.3">
      <c r="A53" s="17"/>
      <c r="B53" s="17"/>
      <c r="C53" s="17"/>
      <c r="D53" s="17"/>
      <c r="E53" s="17"/>
      <c r="F53" s="17"/>
      <c r="G53" s="17"/>
      <c r="H53" s="28">
        <f t="shared" si="1"/>
        <v>0</v>
      </c>
      <c r="I53" s="17"/>
      <c r="J53" s="17"/>
      <c r="K53" s="17"/>
    </row>
    <row r="54" spans="1:11" ht="15" customHeight="1" x14ac:dyDescent="0.3">
      <c r="A54" s="45"/>
      <c r="B54" s="45"/>
      <c r="C54" s="45"/>
      <c r="D54" s="45"/>
      <c r="E54" s="45"/>
      <c r="F54" s="45"/>
      <c r="G54" s="45"/>
      <c r="H54" s="50">
        <f t="shared" si="1"/>
        <v>0</v>
      </c>
      <c r="I54" s="45"/>
      <c r="J54" s="45"/>
      <c r="K54" s="45"/>
    </row>
    <row r="55" spans="1:11" ht="15" customHeight="1" x14ac:dyDescent="0.3">
      <c r="A55" s="17"/>
      <c r="B55" s="17"/>
      <c r="C55" s="17"/>
      <c r="D55" s="17"/>
      <c r="E55" s="17"/>
      <c r="F55" s="17"/>
      <c r="G55" s="17"/>
      <c r="H55" s="28">
        <f t="shared" si="1"/>
        <v>0</v>
      </c>
      <c r="I55" s="17"/>
      <c r="J55" s="17"/>
      <c r="K55" s="17"/>
    </row>
    <row r="56" spans="1:11" ht="15" customHeight="1" x14ac:dyDescent="0.3">
      <c r="A56" s="45"/>
      <c r="B56" s="45"/>
      <c r="C56" s="45"/>
      <c r="D56" s="45"/>
      <c r="E56" s="45"/>
      <c r="F56" s="45"/>
      <c r="G56" s="45"/>
      <c r="H56" s="50">
        <f t="shared" si="1"/>
        <v>0</v>
      </c>
      <c r="I56" s="45"/>
      <c r="J56" s="45"/>
      <c r="K56" s="45"/>
    </row>
    <row r="57" spans="1:11" ht="15" customHeight="1" x14ac:dyDescent="0.3">
      <c r="A57" s="17"/>
      <c r="B57" s="17"/>
      <c r="C57" s="17"/>
      <c r="D57" s="17"/>
      <c r="E57" s="17"/>
      <c r="F57" s="17"/>
      <c r="G57" s="17"/>
      <c r="H57" s="28">
        <f t="shared" si="1"/>
        <v>0</v>
      </c>
      <c r="I57" s="17"/>
      <c r="J57" s="17"/>
      <c r="K57" s="17"/>
    </row>
    <row r="58" spans="1:11" ht="15" customHeight="1" x14ac:dyDescent="0.3">
      <c r="A58" s="45"/>
      <c r="B58" s="45"/>
      <c r="C58" s="45"/>
      <c r="D58" s="45"/>
      <c r="E58" s="45"/>
      <c r="F58" s="45"/>
      <c r="G58" s="45"/>
      <c r="H58" s="50">
        <f t="shared" si="1"/>
        <v>0</v>
      </c>
      <c r="I58" s="45"/>
      <c r="J58" s="45"/>
      <c r="K58" s="45"/>
    </row>
    <row r="59" spans="1:11" ht="15" customHeight="1" x14ac:dyDescent="0.3">
      <c r="A59" s="17"/>
      <c r="B59" s="17"/>
      <c r="C59" s="17"/>
      <c r="D59" s="17"/>
      <c r="E59" s="17"/>
      <c r="F59" s="17"/>
      <c r="G59" s="17"/>
      <c r="H59" s="28">
        <f t="shared" si="1"/>
        <v>0</v>
      </c>
      <c r="I59" s="17"/>
      <c r="J59" s="17"/>
      <c r="K59" s="17"/>
    </row>
    <row r="60" spans="1:11" ht="15" customHeight="1" x14ac:dyDescent="0.3">
      <c r="A60" s="45"/>
      <c r="B60" s="45"/>
      <c r="C60" s="45"/>
      <c r="D60" s="45"/>
      <c r="E60" s="45"/>
      <c r="F60" s="45"/>
      <c r="G60" s="45"/>
      <c r="H60" s="50">
        <f t="shared" si="1"/>
        <v>0</v>
      </c>
      <c r="I60" s="45"/>
      <c r="J60" s="45"/>
      <c r="K60" s="45"/>
    </row>
    <row r="61" spans="1:11" ht="15" customHeight="1" x14ac:dyDescent="0.3">
      <c r="A61" s="17"/>
      <c r="B61" s="17"/>
      <c r="C61" s="17"/>
      <c r="D61" s="17"/>
      <c r="E61" s="17"/>
      <c r="F61" s="17"/>
      <c r="G61" s="17"/>
      <c r="H61" s="28">
        <f t="shared" si="1"/>
        <v>0</v>
      </c>
      <c r="I61" s="17"/>
      <c r="J61" s="17"/>
      <c r="K61" s="17"/>
    </row>
    <row r="62" spans="1:11" ht="15" customHeight="1" x14ac:dyDescent="0.3">
      <c r="A62" s="45"/>
      <c r="B62" s="45"/>
      <c r="C62" s="45"/>
      <c r="D62" s="45"/>
      <c r="E62" s="45"/>
      <c r="F62" s="45"/>
      <c r="G62" s="45"/>
      <c r="H62" s="50">
        <f t="shared" si="1"/>
        <v>0</v>
      </c>
      <c r="I62" s="45"/>
      <c r="J62" s="45"/>
      <c r="K62" s="45"/>
    </row>
    <row r="63" spans="1:11" ht="15" customHeight="1" x14ac:dyDescent="0.3">
      <c r="A63" s="17"/>
      <c r="B63" s="17"/>
      <c r="C63" s="17"/>
      <c r="D63" s="17"/>
      <c r="E63" s="17"/>
      <c r="F63" s="17"/>
      <c r="G63" s="17"/>
      <c r="H63" s="28">
        <f t="shared" si="1"/>
        <v>0</v>
      </c>
      <c r="I63" s="17"/>
      <c r="J63" s="17"/>
      <c r="K63" s="17"/>
    </row>
    <row r="64" spans="1:11" ht="15" customHeight="1" x14ac:dyDescent="0.3">
      <c r="A64" s="45"/>
      <c r="B64" s="45"/>
      <c r="C64" s="45"/>
      <c r="D64" s="45"/>
      <c r="E64" s="45"/>
      <c r="F64" s="45"/>
      <c r="G64" s="45"/>
      <c r="H64" s="50">
        <f t="shared" si="1"/>
        <v>0</v>
      </c>
      <c r="I64" s="45"/>
      <c r="J64" s="45"/>
      <c r="K64" s="45"/>
    </row>
    <row r="65" spans="1:11" ht="15" customHeight="1" x14ac:dyDescent="0.3">
      <c r="A65" s="17"/>
      <c r="B65" s="17"/>
      <c r="C65" s="17"/>
      <c r="D65" s="17"/>
      <c r="E65" s="17"/>
      <c r="F65" s="17"/>
      <c r="G65" s="17"/>
      <c r="H65" s="28">
        <f t="shared" si="1"/>
        <v>0</v>
      </c>
      <c r="I65" s="17"/>
      <c r="J65" s="17"/>
      <c r="K65" s="17"/>
    </row>
    <row r="66" spans="1:11" ht="15" customHeight="1" x14ac:dyDescent="0.3">
      <c r="A66" s="45"/>
      <c r="B66" s="45"/>
      <c r="C66" s="45"/>
      <c r="D66" s="45"/>
      <c r="E66" s="45"/>
      <c r="F66" s="45"/>
      <c r="G66" s="45"/>
      <c r="H66" s="50">
        <f t="shared" si="1"/>
        <v>0</v>
      </c>
      <c r="I66" s="45"/>
      <c r="J66" s="45"/>
      <c r="K66" s="45"/>
    </row>
    <row r="67" spans="1:11" ht="15" customHeight="1" x14ac:dyDescent="0.3">
      <c r="A67" s="17"/>
      <c r="B67" s="17"/>
      <c r="C67" s="17"/>
      <c r="D67" s="17"/>
      <c r="E67" s="17"/>
      <c r="F67" s="17"/>
      <c r="G67" s="17"/>
      <c r="H67" s="28">
        <f t="shared" si="1"/>
        <v>0</v>
      </c>
      <c r="I67" s="17"/>
      <c r="J67" s="17"/>
      <c r="K67" s="17"/>
    </row>
    <row r="68" spans="1:11" ht="15" customHeight="1" x14ac:dyDescent="0.3">
      <c r="A68" s="45"/>
      <c r="B68" s="45"/>
      <c r="C68" s="45"/>
      <c r="D68" s="45"/>
      <c r="E68" s="45"/>
      <c r="F68" s="45"/>
      <c r="G68" s="45"/>
      <c r="H68" s="50">
        <f t="shared" si="1"/>
        <v>0</v>
      </c>
      <c r="I68" s="45"/>
      <c r="J68" s="45"/>
      <c r="K68" s="45"/>
    </row>
    <row r="69" spans="1:11" ht="15" customHeight="1" x14ac:dyDescent="0.3">
      <c r="A69" s="17"/>
      <c r="B69" s="17"/>
      <c r="C69" s="17"/>
      <c r="D69" s="17"/>
      <c r="E69" s="17"/>
      <c r="F69" s="17"/>
      <c r="G69" s="17"/>
      <c r="H69" s="28">
        <f t="shared" si="1"/>
        <v>0</v>
      </c>
      <c r="I69" s="17"/>
      <c r="J69" s="17"/>
      <c r="K69" s="17"/>
    </row>
    <row r="70" spans="1:11" ht="15" customHeight="1" x14ac:dyDescent="0.3">
      <c r="A70" s="45"/>
      <c r="B70" s="45"/>
      <c r="C70" s="45"/>
      <c r="D70" s="45"/>
      <c r="E70" s="45"/>
      <c r="F70" s="45"/>
      <c r="G70" s="45"/>
      <c r="H70" s="50">
        <f t="shared" si="1"/>
        <v>0</v>
      </c>
      <c r="I70" s="45"/>
      <c r="J70" s="45"/>
      <c r="K70" s="45"/>
    </row>
    <row r="71" spans="1:11" ht="15" customHeight="1" x14ac:dyDescent="0.3">
      <c r="A71" s="17"/>
      <c r="B71" s="17"/>
      <c r="C71" s="17"/>
      <c r="D71" s="17"/>
      <c r="E71" s="17"/>
      <c r="F71" s="17"/>
      <c r="G71" s="17"/>
      <c r="H71" s="28">
        <f t="shared" si="1"/>
        <v>0</v>
      </c>
      <c r="I71" s="17"/>
      <c r="J71" s="17"/>
      <c r="K71" s="17"/>
    </row>
    <row r="72" spans="1:11" ht="15" customHeight="1" x14ac:dyDescent="0.3">
      <c r="A72" s="45"/>
      <c r="B72" s="45"/>
      <c r="C72" s="45"/>
      <c r="D72" s="45"/>
      <c r="E72" s="45"/>
      <c r="F72" s="45"/>
      <c r="G72" s="45"/>
      <c r="H72" s="50">
        <f t="shared" si="1"/>
        <v>0</v>
      </c>
      <c r="I72" s="45"/>
      <c r="J72" s="45"/>
      <c r="K72" s="45"/>
    </row>
    <row r="73" spans="1:11" ht="15" customHeight="1" x14ac:dyDescent="0.3">
      <c r="A73" s="17"/>
      <c r="B73" s="17"/>
      <c r="C73" s="17"/>
      <c r="D73" s="17"/>
      <c r="E73" s="17"/>
      <c r="F73" s="17"/>
      <c r="G73" s="17"/>
      <c r="H73" s="28">
        <f t="shared" si="1"/>
        <v>0</v>
      </c>
      <c r="I73" s="17"/>
      <c r="J73" s="17"/>
      <c r="K73" s="17"/>
    </row>
    <row r="74" spans="1:11" ht="15" customHeight="1" x14ac:dyDescent="0.3">
      <c r="A74" s="45"/>
      <c r="B74" s="45"/>
      <c r="C74" s="45"/>
      <c r="D74" s="45"/>
      <c r="E74" s="45"/>
      <c r="F74" s="45"/>
      <c r="G74" s="45"/>
      <c r="H74" s="50">
        <f t="shared" si="1"/>
        <v>0</v>
      </c>
      <c r="I74" s="45"/>
      <c r="J74" s="45"/>
      <c r="K74" s="45"/>
    </row>
    <row r="75" spans="1:11" ht="15" customHeight="1" x14ac:dyDescent="0.3">
      <c r="A75" s="17"/>
      <c r="B75" s="17"/>
      <c r="C75" s="17"/>
      <c r="D75" s="17"/>
      <c r="E75" s="17"/>
      <c r="F75" s="17"/>
      <c r="G75" s="17"/>
      <c r="H75" s="28">
        <f t="shared" ref="H75:H138" si="2">IFERROR(E75*G75,"")</f>
        <v>0</v>
      </c>
      <c r="I75" s="17"/>
      <c r="J75" s="17"/>
      <c r="K75" s="17"/>
    </row>
    <row r="76" spans="1:11" ht="15" customHeight="1" x14ac:dyDescent="0.3">
      <c r="A76" s="45"/>
      <c r="B76" s="45"/>
      <c r="C76" s="45"/>
      <c r="D76" s="45"/>
      <c r="E76" s="45"/>
      <c r="F76" s="45"/>
      <c r="G76" s="45"/>
      <c r="H76" s="50">
        <f t="shared" si="2"/>
        <v>0</v>
      </c>
      <c r="I76" s="45"/>
      <c r="J76" s="45"/>
      <c r="K76" s="45"/>
    </row>
    <row r="77" spans="1:11" ht="15" customHeight="1" x14ac:dyDescent="0.3">
      <c r="A77" s="17"/>
      <c r="B77" s="17"/>
      <c r="C77" s="17"/>
      <c r="D77" s="17"/>
      <c r="E77" s="17"/>
      <c r="F77" s="17"/>
      <c r="G77" s="17"/>
      <c r="H77" s="28">
        <f t="shared" si="2"/>
        <v>0</v>
      </c>
      <c r="I77" s="17"/>
      <c r="J77" s="17"/>
      <c r="K77" s="17"/>
    </row>
    <row r="78" spans="1:11" ht="15" customHeight="1" x14ac:dyDescent="0.3">
      <c r="A78" s="45"/>
      <c r="B78" s="45"/>
      <c r="C78" s="45"/>
      <c r="D78" s="45"/>
      <c r="E78" s="45"/>
      <c r="F78" s="45"/>
      <c r="G78" s="45"/>
      <c r="H78" s="50">
        <f t="shared" si="2"/>
        <v>0</v>
      </c>
      <c r="I78" s="45"/>
      <c r="J78" s="45"/>
      <c r="K78" s="45"/>
    </row>
    <row r="79" spans="1:11" ht="15" customHeight="1" x14ac:dyDescent="0.3">
      <c r="A79" s="17"/>
      <c r="B79" s="17"/>
      <c r="C79" s="17"/>
      <c r="D79" s="17"/>
      <c r="E79" s="17"/>
      <c r="F79" s="17"/>
      <c r="G79" s="17"/>
      <c r="H79" s="28">
        <f t="shared" si="2"/>
        <v>0</v>
      </c>
      <c r="I79" s="17"/>
      <c r="J79" s="17"/>
      <c r="K79" s="17"/>
    </row>
    <row r="80" spans="1:11" ht="15" customHeight="1" x14ac:dyDescent="0.3">
      <c r="A80" s="45"/>
      <c r="B80" s="45"/>
      <c r="C80" s="45"/>
      <c r="D80" s="45"/>
      <c r="E80" s="45"/>
      <c r="F80" s="45"/>
      <c r="G80" s="45"/>
      <c r="H80" s="50">
        <f t="shared" si="2"/>
        <v>0</v>
      </c>
      <c r="I80" s="45"/>
      <c r="J80" s="45"/>
      <c r="K80" s="45"/>
    </row>
    <row r="81" spans="1:11" ht="15" customHeight="1" x14ac:dyDescent="0.3">
      <c r="A81" s="17"/>
      <c r="B81" s="17"/>
      <c r="C81" s="17"/>
      <c r="D81" s="17"/>
      <c r="E81" s="17"/>
      <c r="F81" s="17"/>
      <c r="G81" s="17"/>
      <c r="H81" s="28">
        <f t="shared" si="2"/>
        <v>0</v>
      </c>
      <c r="I81" s="17"/>
      <c r="J81" s="17"/>
      <c r="K81" s="17"/>
    </row>
    <row r="82" spans="1:11" ht="15" customHeight="1" x14ac:dyDescent="0.3">
      <c r="A82" s="45"/>
      <c r="B82" s="45"/>
      <c r="C82" s="45"/>
      <c r="D82" s="45"/>
      <c r="E82" s="45"/>
      <c r="F82" s="45"/>
      <c r="G82" s="45"/>
      <c r="H82" s="50">
        <f t="shared" si="2"/>
        <v>0</v>
      </c>
      <c r="I82" s="45"/>
      <c r="J82" s="45"/>
      <c r="K82" s="45"/>
    </row>
    <row r="83" spans="1:11" ht="15" customHeight="1" x14ac:dyDescent="0.3">
      <c r="A83" s="17"/>
      <c r="B83" s="17"/>
      <c r="C83" s="17"/>
      <c r="D83" s="17"/>
      <c r="E83" s="17"/>
      <c r="F83" s="17"/>
      <c r="G83" s="17"/>
      <c r="H83" s="28">
        <f t="shared" si="2"/>
        <v>0</v>
      </c>
      <c r="I83" s="17"/>
      <c r="J83" s="17"/>
      <c r="K83" s="17"/>
    </row>
    <row r="84" spans="1:11" ht="15" customHeight="1" x14ac:dyDescent="0.3">
      <c r="A84" s="45"/>
      <c r="B84" s="45"/>
      <c r="C84" s="45"/>
      <c r="D84" s="45"/>
      <c r="E84" s="45"/>
      <c r="F84" s="45"/>
      <c r="G84" s="45"/>
      <c r="H84" s="50">
        <f t="shared" si="2"/>
        <v>0</v>
      </c>
      <c r="I84" s="45"/>
      <c r="J84" s="45"/>
      <c r="K84" s="45"/>
    </row>
    <row r="85" spans="1:11" ht="15" customHeight="1" x14ac:dyDescent="0.3">
      <c r="A85" s="17"/>
      <c r="B85" s="17"/>
      <c r="C85" s="17"/>
      <c r="D85" s="17"/>
      <c r="E85" s="17"/>
      <c r="F85" s="17"/>
      <c r="G85" s="17"/>
      <c r="H85" s="28">
        <f t="shared" si="2"/>
        <v>0</v>
      </c>
      <c r="I85" s="17"/>
      <c r="J85" s="17"/>
      <c r="K85" s="17"/>
    </row>
    <row r="86" spans="1:11" ht="15" customHeight="1" x14ac:dyDescent="0.3">
      <c r="A86" s="45"/>
      <c r="B86" s="45"/>
      <c r="C86" s="45"/>
      <c r="D86" s="45"/>
      <c r="E86" s="45"/>
      <c r="F86" s="45"/>
      <c r="G86" s="45"/>
      <c r="H86" s="50">
        <f t="shared" si="2"/>
        <v>0</v>
      </c>
      <c r="I86" s="45"/>
      <c r="J86" s="45"/>
      <c r="K86" s="45"/>
    </row>
    <row r="87" spans="1:11" ht="15" customHeight="1" x14ac:dyDescent="0.3">
      <c r="A87" s="17"/>
      <c r="B87" s="17"/>
      <c r="C87" s="17"/>
      <c r="D87" s="17"/>
      <c r="E87" s="17"/>
      <c r="F87" s="17"/>
      <c r="G87" s="17"/>
      <c r="H87" s="28">
        <f t="shared" si="2"/>
        <v>0</v>
      </c>
      <c r="I87" s="17"/>
      <c r="J87" s="17"/>
      <c r="K87" s="17"/>
    </row>
    <row r="88" spans="1:11" ht="15" customHeight="1" x14ac:dyDescent="0.3">
      <c r="A88" s="45"/>
      <c r="B88" s="45"/>
      <c r="C88" s="45"/>
      <c r="D88" s="45"/>
      <c r="E88" s="45"/>
      <c r="F88" s="45"/>
      <c r="G88" s="45"/>
      <c r="H88" s="50">
        <f t="shared" si="2"/>
        <v>0</v>
      </c>
      <c r="I88" s="45"/>
      <c r="J88" s="45"/>
      <c r="K88" s="45"/>
    </row>
    <row r="89" spans="1:11" ht="15" customHeight="1" x14ac:dyDescent="0.3">
      <c r="A89" s="17"/>
      <c r="B89" s="17"/>
      <c r="C89" s="17"/>
      <c r="D89" s="17"/>
      <c r="E89" s="17"/>
      <c r="F89" s="17"/>
      <c r="G89" s="17"/>
      <c r="H89" s="28">
        <f t="shared" si="2"/>
        <v>0</v>
      </c>
      <c r="I89" s="17"/>
      <c r="J89" s="17"/>
      <c r="K89" s="17"/>
    </row>
    <row r="90" spans="1:11" ht="15" customHeight="1" x14ac:dyDescent="0.3">
      <c r="A90" s="45"/>
      <c r="B90" s="45"/>
      <c r="C90" s="45"/>
      <c r="D90" s="45"/>
      <c r="E90" s="45"/>
      <c r="F90" s="45"/>
      <c r="G90" s="45"/>
      <c r="H90" s="50">
        <f t="shared" si="2"/>
        <v>0</v>
      </c>
      <c r="I90" s="45"/>
      <c r="J90" s="45"/>
      <c r="K90" s="45"/>
    </row>
    <row r="91" spans="1:11" ht="15" customHeight="1" x14ac:dyDescent="0.3">
      <c r="A91" s="17"/>
      <c r="B91" s="17"/>
      <c r="C91" s="17"/>
      <c r="D91" s="17"/>
      <c r="E91" s="17"/>
      <c r="F91" s="17"/>
      <c r="G91" s="17"/>
      <c r="H91" s="28">
        <f t="shared" si="2"/>
        <v>0</v>
      </c>
      <c r="I91" s="17"/>
      <c r="J91" s="17"/>
      <c r="K91" s="17"/>
    </row>
    <row r="92" spans="1:11" ht="15" customHeight="1" x14ac:dyDescent="0.3">
      <c r="A92" s="45"/>
      <c r="B92" s="45"/>
      <c r="C92" s="45"/>
      <c r="D92" s="45"/>
      <c r="E92" s="45"/>
      <c r="F92" s="45"/>
      <c r="G92" s="45"/>
      <c r="H92" s="50">
        <f t="shared" si="2"/>
        <v>0</v>
      </c>
      <c r="I92" s="45"/>
      <c r="J92" s="45"/>
      <c r="K92" s="45"/>
    </row>
    <row r="93" spans="1:11" ht="15" customHeight="1" x14ac:dyDescent="0.3">
      <c r="A93" s="17"/>
      <c r="B93" s="17"/>
      <c r="C93" s="17"/>
      <c r="D93" s="17"/>
      <c r="E93" s="17"/>
      <c r="F93" s="17"/>
      <c r="G93" s="17"/>
      <c r="H93" s="28">
        <f t="shared" si="2"/>
        <v>0</v>
      </c>
      <c r="I93" s="17"/>
      <c r="J93" s="17"/>
      <c r="K93" s="17"/>
    </row>
    <row r="94" spans="1:11" ht="15" customHeight="1" x14ac:dyDescent="0.3">
      <c r="A94" s="45"/>
      <c r="B94" s="45"/>
      <c r="C94" s="45"/>
      <c r="D94" s="45"/>
      <c r="E94" s="45"/>
      <c r="F94" s="45"/>
      <c r="G94" s="45"/>
      <c r="H94" s="50">
        <f t="shared" si="2"/>
        <v>0</v>
      </c>
      <c r="I94" s="45"/>
      <c r="J94" s="45"/>
      <c r="K94" s="45"/>
    </row>
    <row r="95" spans="1:11" ht="15" customHeight="1" x14ac:dyDescent="0.3">
      <c r="A95" s="17"/>
      <c r="B95" s="17"/>
      <c r="C95" s="17"/>
      <c r="D95" s="17"/>
      <c r="E95" s="17"/>
      <c r="F95" s="17"/>
      <c r="G95" s="17"/>
      <c r="H95" s="28">
        <f t="shared" si="2"/>
        <v>0</v>
      </c>
      <c r="I95" s="17"/>
      <c r="J95" s="17"/>
      <c r="K95" s="17"/>
    </row>
    <row r="96" spans="1:11" ht="15" customHeight="1" x14ac:dyDescent="0.3">
      <c r="A96" s="45"/>
      <c r="B96" s="45"/>
      <c r="C96" s="45"/>
      <c r="D96" s="45"/>
      <c r="E96" s="45"/>
      <c r="F96" s="45"/>
      <c r="G96" s="45"/>
      <c r="H96" s="50">
        <f t="shared" si="2"/>
        <v>0</v>
      </c>
      <c r="I96" s="45"/>
      <c r="J96" s="45"/>
      <c r="K96" s="45"/>
    </row>
    <row r="97" spans="1:11" ht="15" customHeight="1" x14ac:dyDescent="0.3">
      <c r="A97" s="17"/>
      <c r="B97" s="17"/>
      <c r="C97" s="17"/>
      <c r="D97" s="17"/>
      <c r="E97" s="17"/>
      <c r="F97" s="17"/>
      <c r="G97" s="17"/>
      <c r="H97" s="28">
        <f t="shared" si="2"/>
        <v>0</v>
      </c>
      <c r="I97" s="17"/>
      <c r="J97" s="17"/>
      <c r="K97" s="17"/>
    </row>
    <row r="98" spans="1:11" ht="15" customHeight="1" x14ac:dyDescent="0.3">
      <c r="A98" s="45"/>
      <c r="B98" s="45"/>
      <c r="C98" s="45"/>
      <c r="D98" s="45"/>
      <c r="E98" s="45"/>
      <c r="F98" s="45"/>
      <c r="G98" s="45"/>
      <c r="H98" s="50">
        <f t="shared" si="2"/>
        <v>0</v>
      </c>
      <c r="I98" s="45"/>
      <c r="J98" s="45"/>
      <c r="K98" s="45"/>
    </row>
    <row r="99" spans="1:11" ht="15" customHeight="1" x14ac:dyDescent="0.3">
      <c r="A99" s="17"/>
      <c r="B99" s="17"/>
      <c r="C99" s="17"/>
      <c r="D99" s="17"/>
      <c r="E99" s="17"/>
      <c r="F99" s="17"/>
      <c r="G99" s="17"/>
      <c r="H99" s="28">
        <f t="shared" si="2"/>
        <v>0</v>
      </c>
      <c r="I99" s="17"/>
      <c r="J99" s="17"/>
      <c r="K99" s="17"/>
    </row>
    <row r="100" spans="1:11" ht="15" customHeight="1" x14ac:dyDescent="0.3">
      <c r="A100" s="45"/>
      <c r="B100" s="45"/>
      <c r="C100" s="45"/>
      <c r="D100" s="45"/>
      <c r="E100" s="45"/>
      <c r="F100" s="45"/>
      <c r="G100" s="45"/>
      <c r="H100" s="50">
        <f t="shared" si="2"/>
        <v>0</v>
      </c>
      <c r="I100" s="45"/>
      <c r="J100" s="45"/>
      <c r="K100" s="45"/>
    </row>
    <row r="101" spans="1:11" ht="15" customHeight="1" x14ac:dyDescent="0.3">
      <c r="A101" s="17"/>
      <c r="B101" s="17"/>
      <c r="C101" s="17"/>
      <c r="D101" s="17"/>
      <c r="E101" s="17"/>
      <c r="F101" s="17"/>
      <c r="G101" s="17"/>
      <c r="H101" s="28">
        <f t="shared" si="2"/>
        <v>0</v>
      </c>
      <c r="I101" s="17"/>
      <c r="J101" s="17"/>
      <c r="K101" s="17"/>
    </row>
    <row r="102" spans="1:11" ht="15" customHeight="1" x14ac:dyDescent="0.3">
      <c r="A102" s="45"/>
      <c r="B102" s="45"/>
      <c r="C102" s="45"/>
      <c r="D102" s="45"/>
      <c r="E102" s="45"/>
      <c r="F102" s="45"/>
      <c r="G102" s="45"/>
      <c r="H102" s="50">
        <f t="shared" si="2"/>
        <v>0</v>
      </c>
      <c r="I102" s="45"/>
      <c r="J102" s="45"/>
      <c r="K102" s="45"/>
    </row>
    <row r="103" spans="1:11" ht="15" customHeight="1" x14ac:dyDescent="0.3">
      <c r="A103" s="17"/>
      <c r="B103" s="17"/>
      <c r="C103" s="17"/>
      <c r="D103" s="17"/>
      <c r="E103" s="17"/>
      <c r="F103" s="17"/>
      <c r="G103" s="17"/>
      <c r="H103" s="28">
        <f t="shared" si="2"/>
        <v>0</v>
      </c>
      <c r="I103" s="17"/>
      <c r="J103" s="17"/>
      <c r="K103" s="17"/>
    </row>
    <row r="104" spans="1:11" ht="15" customHeight="1" x14ac:dyDescent="0.3">
      <c r="A104" s="45"/>
      <c r="B104" s="45"/>
      <c r="C104" s="45"/>
      <c r="D104" s="45"/>
      <c r="E104" s="45"/>
      <c r="F104" s="45"/>
      <c r="G104" s="45"/>
      <c r="H104" s="50">
        <f t="shared" si="2"/>
        <v>0</v>
      </c>
      <c r="I104" s="45"/>
      <c r="J104" s="45"/>
      <c r="K104" s="45"/>
    </row>
    <row r="105" spans="1:11" ht="15" customHeight="1" x14ac:dyDescent="0.3">
      <c r="A105" s="17"/>
      <c r="B105" s="17"/>
      <c r="C105" s="17"/>
      <c r="D105" s="17"/>
      <c r="E105" s="17"/>
      <c r="F105" s="17"/>
      <c r="G105" s="17"/>
      <c r="H105" s="28">
        <f t="shared" si="2"/>
        <v>0</v>
      </c>
      <c r="I105" s="17"/>
      <c r="J105" s="17"/>
      <c r="K105" s="17"/>
    </row>
    <row r="106" spans="1:11" ht="15" customHeight="1" x14ac:dyDescent="0.3">
      <c r="A106" s="45"/>
      <c r="B106" s="45"/>
      <c r="C106" s="45"/>
      <c r="D106" s="45"/>
      <c r="E106" s="45"/>
      <c r="F106" s="45"/>
      <c r="G106" s="45"/>
      <c r="H106" s="50">
        <f t="shared" si="2"/>
        <v>0</v>
      </c>
      <c r="I106" s="45"/>
      <c r="J106" s="45"/>
      <c r="K106" s="45"/>
    </row>
    <row r="107" spans="1:11" ht="15" customHeight="1" x14ac:dyDescent="0.3">
      <c r="A107" s="17"/>
      <c r="B107" s="17"/>
      <c r="C107" s="17"/>
      <c r="D107" s="17"/>
      <c r="E107" s="17"/>
      <c r="F107" s="17"/>
      <c r="G107" s="17"/>
      <c r="H107" s="28">
        <f t="shared" si="2"/>
        <v>0</v>
      </c>
      <c r="I107" s="17"/>
      <c r="J107" s="17"/>
      <c r="K107" s="17"/>
    </row>
    <row r="108" spans="1:11" ht="15" customHeight="1" x14ac:dyDescent="0.3">
      <c r="A108" s="45"/>
      <c r="B108" s="45"/>
      <c r="C108" s="45"/>
      <c r="D108" s="45"/>
      <c r="E108" s="45"/>
      <c r="F108" s="45"/>
      <c r="G108" s="45"/>
      <c r="H108" s="50">
        <f t="shared" si="2"/>
        <v>0</v>
      </c>
      <c r="I108" s="45"/>
      <c r="J108" s="45"/>
      <c r="K108" s="45"/>
    </row>
    <row r="109" spans="1:11" ht="15" customHeight="1" x14ac:dyDescent="0.3">
      <c r="A109" s="17"/>
      <c r="B109" s="17"/>
      <c r="C109" s="17"/>
      <c r="D109" s="17"/>
      <c r="E109" s="17"/>
      <c r="F109" s="17"/>
      <c r="G109" s="17"/>
      <c r="H109" s="28">
        <f t="shared" si="2"/>
        <v>0</v>
      </c>
      <c r="I109" s="17"/>
      <c r="J109" s="17"/>
      <c r="K109" s="17"/>
    </row>
    <row r="110" spans="1:11" ht="15" customHeight="1" x14ac:dyDescent="0.3">
      <c r="A110" s="45"/>
      <c r="B110" s="45"/>
      <c r="C110" s="45"/>
      <c r="D110" s="45"/>
      <c r="E110" s="45"/>
      <c r="F110" s="45"/>
      <c r="G110" s="45"/>
      <c r="H110" s="50">
        <f t="shared" si="2"/>
        <v>0</v>
      </c>
      <c r="I110" s="45"/>
      <c r="J110" s="45"/>
      <c r="K110" s="45"/>
    </row>
    <row r="111" spans="1:11" ht="15" customHeight="1" x14ac:dyDescent="0.3">
      <c r="A111" s="17"/>
      <c r="B111" s="17"/>
      <c r="C111" s="17"/>
      <c r="D111" s="17"/>
      <c r="E111" s="17"/>
      <c r="F111" s="17"/>
      <c r="G111" s="17"/>
      <c r="H111" s="28">
        <f t="shared" si="2"/>
        <v>0</v>
      </c>
      <c r="I111" s="17"/>
      <c r="J111" s="17"/>
      <c r="K111" s="17"/>
    </row>
    <row r="112" spans="1:11" ht="15" customHeight="1" x14ac:dyDescent="0.3">
      <c r="A112" s="45"/>
      <c r="B112" s="45"/>
      <c r="C112" s="45"/>
      <c r="D112" s="45"/>
      <c r="E112" s="45"/>
      <c r="F112" s="45"/>
      <c r="G112" s="45"/>
      <c r="H112" s="50">
        <f t="shared" si="2"/>
        <v>0</v>
      </c>
      <c r="I112" s="45"/>
      <c r="J112" s="45"/>
      <c r="K112" s="45"/>
    </row>
    <row r="113" spans="1:11" ht="15" customHeight="1" x14ac:dyDescent="0.3">
      <c r="A113" s="17"/>
      <c r="B113" s="17"/>
      <c r="C113" s="17"/>
      <c r="D113" s="17"/>
      <c r="E113" s="17"/>
      <c r="F113" s="17"/>
      <c r="G113" s="17"/>
      <c r="H113" s="28">
        <f t="shared" si="2"/>
        <v>0</v>
      </c>
      <c r="I113" s="17"/>
      <c r="J113" s="17"/>
      <c r="K113" s="17"/>
    </row>
    <row r="114" spans="1:11" ht="15" customHeight="1" x14ac:dyDescent="0.3">
      <c r="A114" s="45"/>
      <c r="B114" s="45"/>
      <c r="C114" s="45"/>
      <c r="D114" s="45"/>
      <c r="E114" s="45"/>
      <c r="F114" s="45"/>
      <c r="G114" s="45"/>
      <c r="H114" s="50">
        <f t="shared" si="2"/>
        <v>0</v>
      </c>
      <c r="I114" s="45"/>
      <c r="J114" s="45"/>
      <c r="K114" s="45"/>
    </row>
    <row r="115" spans="1:11" ht="15" customHeight="1" x14ac:dyDescent="0.3">
      <c r="A115" s="17"/>
      <c r="B115" s="17"/>
      <c r="C115" s="17"/>
      <c r="D115" s="17"/>
      <c r="E115" s="17"/>
      <c r="F115" s="17"/>
      <c r="G115" s="17"/>
      <c r="H115" s="28">
        <f t="shared" si="2"/>
        <v>0</v>
      </c>
      <c r="I115" s="17"/>
      <c r="J115" s="17"/>
      <c r="K115" s="17"/>
    </row>
    <row r="116" spans="1:11" ht="15" customHeight="1" x14ac:dyDescent="0.3">
      <c r="A116" s="45"/>
      <c r="B116" s="45"/>
      <c r="C116" s="45"/>
      <c r="D116" s="45"/>
      <c r="E116" s="45"/>
      <c r="F116" s="45"/>
      <c r="G116" s="45"/>
      <c r="H116" s="50">
        <f t="shared" si="2"/>
        <v>0</v>
      </c>
      <c r="I116" s="45"/>
      <c r="J116" s="45"/>
      <c r="K116" s="45"/>
    </row>
    <row r="117" spans="1:11" ht="15" customHeight="1" x14ac:dyDescent="0.3">
      <c r="A117" s="17"/>
      <c r="B117" s="17"/>
      <c r="C117" s="17"/>
      <c r="D117" s="17"/>
      <c r="E117" s="17"/>
      <c r="F117" s="17"/>
      <c r="G117" s="17"/>
      <c r="H117" s="28">
        <f t="shared" si="2"/>
        <v>0</v>
      </c>
      <c r="I117" s="17"/>
      <c r="J117" s="17"/>
      <c r="K117" s="17"/>
    </row>
    <row r="118" spans="1:11" ht="15" customHeight="1" x14ac:dyDescent="0.3">
      <c r="A118" s="45"/>
      <c r="B118" s="45"/>
      <c r="C118" s="45"/>
      <c r="D118" s="45"/>
      <c r="E118" s="45"/>
      <c r="F118" s="45"/>
      <c r="G118" s="45"/>
      <c r="H118" s="50">
        <f t="shared" si="2"/>
        <v>0</v>
      </c>
      <c r="I118" s="45"/>
      <c r="J118" s="45"/>
      <c r="K118" s="45"/>
    </row>
    <row r="119" spans="1:11" ht="15" customHeight="1" x14ac:dyDescent="0.3">
      <c r="A119" s="17"/>
      <c r="B119" s="17"/>
      <c r="C119" s="17"/>
      <c r="D119" s="17"/>
      <c r="E119" s="17"/>
      <c r="F119" s="17"/>
      <c r="G119" s="17"/>
      <c r="H119" s="28">
        <f t="shared" si="2"/>
        <v>0</v>
      </c>
      <c r="I119" s="17"/>
      <c r="J119" s="17"/>
      <c r="K119" s="17"/>
    </row>
    <row r="120" spans="1:11" ht="15" customHeight="1" x14ac:dyDescent="0.3">
      <c r="A120" s="45"/>
      <c r="B120" s="45"/>
      <c r="C120" s="45"/>
      <c r="D120" s="45"/>
      <c r="E120" s="45"/>
      <c r="F120" s="45"/>
      <c r="G120" s="45"/>
      <c r="H120" s="50">
        <f t="shared" si="2"/>
        <v>0</v>
      </c>
      <c r="I120" s="45"/>
      <c r="J120" s="45"/>
      <c r="K120" s="45"/>
    </row>
    <row r="121" spans="1:11" ht="15" customHeight="1" x14ac:dyDescent="0.3">
      <c r="A121" s="17"/>
      <c r="B121" s="17"/>
      <c r="C121" s="17"/>
      <c r="D121" s="17"/>
      <c r="E121" s="17"/>
      <c r="F121" s="17"/>
      <c r="G121" s="17"/>
      <c r="H121" s="28">
        <f t="shared" si="2"/>
        <v>0</v>
      </c>
      <c r="I121" s="17"/>
      <c r="J121" s="17"/>
      <c r="K121" s="17"/>
    </row>
    <row r="122" spans="1:11" ht="15" customHeight="1" x14ac:dyDescent="0.3">
      <c r="A122" s="45"/>
      <c r="B122" s="45"/>
      <c r="C122" s="45"/>
      <c r="D122" s="45"/>
      <c r="E122" s="45"/>
      <c r="F122" s="45"/>
      <c r="G122" s="45"/>
      <c r="H122" s="50">
        <f t="shared" si="2"/>
        <v>0</v>
      </c>
      <c r="I122" s="45"/>
      <c r="J122" s="45"/>
      <c r="K122" s="45"/>
    </row>
    <row r="123" spans="1:11" ht="15" customHeight="1" x14ac:dyDescent="0.3">
      <c r="A123" s="17"/>
      <c r="B123" s="17"/>
      <c r="C123" s="17"/>
      <c r="D123" s="17"/>
      <c r="E123" s="17"/>
      <c r="F123" s="17"/>
      <c r="G123" s="17"/>
      <c r="H123" s="28">
        <f t="shared" si="2"/>
        <v>0</v>
      </c>
      <c r="I123" s="17"/>
      <c r="J123" s="17"/>
      <c r="K123" s="17"/>
    </row>
    <row r="124" spans="1:11" ht="15" customHeight="1" x14ac:dyDescent="0.3">
      <c r="A124" s="45"/>
      <c r="B124" s="45"/>
      <c r="C124" s="45"/>
      <c r="D124" s="45"/>
      <c r="E124" s="45"/>
      <c r="F124" s="45"/>
      <c r="G124" s="45"/>
      <c r="H124" s="50">
        <f t="shared" si="2"/>
        <v>0</v>
      </c>
      <c r="I124" s="45"/>
      <c r="J124" s="45"/>
      <c r="K124" s="45"/>
    </row>
    <row r="125" spans="1:11" ht="15" customHeight="1" x14ac:dyDescent="0.3">
      <c r="A125" s="17"/>
      <c r="B125" s="17"/>
      <c r="C125" s="17"/>
      <c r="D125" s="17"/>
      <c r="E125" s="17"/>
      <c r="F125" s="17"/>
      <c r="G125" s="17"/>
      <c r="H125" s="28">
        <f t="shared" si="2"/>
        <v>0</v>
      </c>
      <c r="I125" s="17"/>
      <c r="J125" s="17"/>
      <c r="K125" s="17"/>
    </row>
    <row r="126" spans="1:11" ht="15" customHeight="1" x14ac:dyDescent="0.3">
      <c r="A126" s="45"/>
      <c r="B126" s="45"/>
      <c r="C126" s="45"/>
      <c r="D126" s="45"/>
      <c r="E126" s="45"/>
      <c r="F126" s="45"/>
      <c r="G126" s="45"/>
      <c r="H126" s="50">
        <f t="shared" si="2"/>
        <v>0</v>
      </c>
      <c r="I126" s="45"/>
      <c r="J126" s="45"/>
      <c r="K126" s="45"/>
    </row>
    <row r="127" spans="1:11" ht="15" customHeight="1" x14ac:dyDescent="0.3">
      <c r="A127" s="17"/>
      <c r="B127" s="17"/>
      <c r="C127" s="17"/>
      <c r="D127" s="17"/>
      <c r="E127" s="17"/>
      <c r="F127" s="17"/>
      <c r="G127" s="17"/>
      <c r="H127" s="28">
        <f t="shared" si="2"/>
        <v>0</v>
      </c>
      <c r="I127" s="17"/>
      <c r="J127" s="17"/>
      <c r="K127" s="17"/>
    </row>
    <row r="128" spans="1:11" ht="15" customHeight="1" x14ac:dyDescent="0.3">
      <c r="A128" s="45"/>
      <c r="B128" s="45"/>
      <c r="C128" s="45"/>
      <c r="D128" s="45"/>
      <c r="E128" s="45"/>
      <c r="F128" s="45"/>
      <c r="G128" s="45"/>
      <c r="H128" s="50">
        <f t="shared" si="2"/>
        <v>0</v>
      </c>
      <c r="I128" s="45"/>
      <c r="J128" s="45"/>
      <c r="K128" s="45"/>
    </row>
    <row r="129" spans="1:11" ht="15" customHeight="1" x14ac:dyDescent="0.3">
      <c r="A129" s="17"/>
      <c r="B129" s="17"/>
      <c r="C129" s="17"/>
      <c r="D129" s="17"/>
      <c r="E129" s="17"/>
      <c r="F129" s="17"/>
      <c r="G129" s="17"/>
      <c r="H129" s="28">
        <f t="shared" si="2"/>
        <v>0</v>
      </c>
      <c r="I129" s="17"/>
      <c r="J129" s="17"/>
      <c r="K129" s="17"/>
    </row>
    <row r="130" spans="1:11" ht="15" customHeight="1" x14ac:dyDescent="0.3">
      <c r="A130" s="45"/>
      <c r="B130" s="45"/>
      <c r="C130" s="45"/>
      <c r="D130" s="45"/>
      <c r="E130" s="45"/>
      <c r="F130" s="45"/>
      <c r="G130" s="45"/>
      <c r="H130" s="50">
        <f t="shared" si="2"/>
        <v>0</v>
      </c>
      <c r="I130" s="45"/>
      <c r="J130" s="45"/>
      <c r="K130" s="45"/>
    </row>
    <row r="131" spans="1:11" ht="15" customHeight="1" x14ac:dyDescent="0.3">
      <c r="A131" s="17"/>
      <c r="B131" s="17"/>
      <c r="C131" s="17"/>
      <c r="D131" s="17"/>
      <c r="E131" s="17"/>
      <c r="F131" s="17"/>
      <c r="G131" s="17"/>
      <c r="H131" s="28">
        <f t="shared" si="2"/>
        <v>0</v>
      </c>
      <c r="I131" s="17"/>
      <c r="J131" s="17"/>
      <c r="K131" s="17"/>
    </row>
    <row r="132" spans="1:11" ht="15" customHeight="1" x14ac:dyDescent="0.3">
      <c r="A132" s="45"/>
      <c r="B132" s="45"/>
      <c r="C132" s="45"/>
      <c r="D132" s="45"/>
      <c r="E132" s="45"/>
      <c r="F132" s="45"/>
      <c r="G132" s="45"/>
      <c r="H132" s="50">
        <f t="shared" si="2"/>
        <v>0</v>
      </c>
      <c r="I132" s="45"/>
      <c r="J132" s="45"/>
      <c r="K132" s="45"/>
    </row>
    <row r="133" spans="1:11" ht="15" customHeight="1" x14ac:dyDescent="0.3">
      <c r="A133" s="17"/>
      <c r="B133" s="17"/>
      <c r="C133" s="17"/>
      <c r="D133" s="17"/>
      <c r="E133" s="17"/>
      <c r="F133" s="17"/>
      <c r="G133" s="17"/>
      <c r="H133" s="28">
        <f t="shared" si="2"/>
        <v>0</v>
      </c>
      <c r="I133" s="17"/>
      <c r="J133" s="17"/>
      <c r="K133" s="17"/>
    </row>
    <row r="134" spans="1:11" ht="15" customHeight="1" x14ac:dyDescent="0.3">
      <c r="A134" s="45"/>
      <c r="B134" s="45"/>
      <c r="C134" s="45"/>
      <c r="D134" s="45"/>
      <c r="E134" s="45"/>
      <c r="F134" s="45"/>
      <c r="G134" s="45"/>
      <c r="H134" s="50">
        <f t="shared" si="2"/>
        <v>0</v>
      </c>
      <c r="I134" s="45"/>
      <c r="J134" s="45"/>
      <c r="K134" s="45"/>
    </row>
    <row r="135" spans="1:11" ht="15" customHeight="1" x14ac:dyDescent="0.3">
      <c r="A135" s="17"/>
      <c r="B135" s="17"/>
      <c r="C135" s="17"/>
      <c r="D135" s="17"/>
      <c r="E135" s="17"/>
      <c r="F135" s="17"/>
      <c r="G135" s="17"/>
      <c r="H135" s="28">
        <f t="shared" si="2"/>
        <v>0</v>
      </c>
      <c r="I135" s="17"/>
      <c r="J135" s="17"/>
      <c r="K135" s="17"/>
    </row>
    <row r="136" spans="1:11" ht="15" customHeight="1" x14ac:dyDescent="0.3">
      <c r="A136" s="45"/>
      <c r="B136" s="45"/>
      <c r="C136" s="45"/>
      <c r="D136" s="45"/>
      <c r="E136" s="45"/>
      <c r="F136" s="45"/>
      <c r="G136" s="45"/>
      <c r="H136" s="50">
        <f t="shared" si="2"/>
        <v>0</v>
      </c>
      <c r="I136" s="45"/>
      <c r="J136" s="45"/>
      <c r="K136" s="45"/>
    </row>
    <row r="137" spans="1:11" ht="15" customHeight="1" x14ac:dyDescent="0.3">
      <c r="A137" s="17"/>
      <c r="B137" s="17"/>
      <c r="C137" s="17"/>
      <c r="D137" s="17"/>
      <c r="E137" s="17"/>
      <c r="F137" s="17"/>
      <c r="G137" s="17"/>
      <c r="H137" s="28">
        <f t="shared" si="2"/>
        <v>0</v>
      </c>
      <c r="I137" s="17"/>
      <c r="J137" s="17"/>
      <c r="K137" s="17"/>
    </row>
    <row r="138" spans="1:11" ht="15" customHeight="1" x14ac:dyDescent="0.3">
      <c r="A138" s="45"/>
      <c r="B138" s="45"/>
      <c r="C138" s="45"/>
      <c r="D138" s="45"/>
      <c r="E138" s="45"/>
      <c r="F138" s="45"/>
      <c r="G138" s="45"/>
      <c r="H138" s="50">
        <f t="shared" si="2"/>
        <v>0</v>
      </c>
      <c r="I138" s="45"/>
      <c r="J138" s="45"/>
      <c r="K138" s="45"/>
    </row>
    <row r="139" spans="1:11" ht="15" customHeight="1" x14ac:dyDescent="0.3">
      <c r="A139" s="17"/>
      <c r="B139" s="17"/>
      <c r="C139" s="17"/>
      <c r="D139" s="17"/>
      <c r="E139" s="17"/>
      <c r="F139" s="17"/>
      <c r="G139" s="17"/>
      <c r="H139" s="28">
        <f t="shared" ref="H139:H202" si="3">IFERROR(E139*G139,"")</f>
        <v>0</v>
      </c>
      <c r="I139" s="17"/>
      <c r="J139" s="17"/>
      <c r="K139" s="17"/>
    </row>
    <row r="140" spans="1:11" ht="15" customHeight="1" x14ac:dyDescent="0.3">
      <c r="A140" s="45"/>
      <c r="B140" s="45"/>
      <c r="C140" s="45"/>
      <c r="D140" s="45"/>
      <c r="E140" s="45"/>
      <c r="F140" s="45"/>
      <c r="G140" s="45"/>
      <c r="H140" s="50">
        <f t="shared" si="3"/>
        <v>0</v>
      </c>
      <c r="I140" s="45"/>
      <c r="J140" s="45"/>
      <c r="K140" s="45"/>
    </row>
    <row r="141" spans="1:11" ht="15" customHeight="1" x14ac:dyDescent="0.3">
      <c r="A141" s="17"/>
      <c r="B141" s="17"/>
      <c r="C141" s="17"/>
      <c r="D141" s="17"/>
      <c r="E141" s="17"/>
      <c r="F141" s="17"/>
      <c r="G141" s="17"/>
      <c r="H141" s="28">
        <f t="shared" si="3"/>
        <v>0</v>
      </c>
      <c r="I141" s="17"/>
      <c r="J141" s="17"/>
      <c r="K141" s="17"/>
    </row>
    <row r="142" spans="1:11" ht="15" customHeight="1" x14ac:dyDescent="0.3">
      <c r="A142" s="45"/>
      <c r="B142" s="45"/>
      <c r="C142" s="45"/>
      <c r="D142" s="45"/>
      <c r="E142" s="45"/>
      <c r="F142" s="45"/>
      <c r="G142" s="45"/>
      <c r="H142" s="50">
        <f t="shared" si="3"/>
        <v>0</v>
      </c>
      <c r="I142" s="45"/>
      <c r="J142" s="45"/>
      <c r="K142" s="45"/>
    </row>
    <row r="143" spans="1:11" ht="15" customHeight="1" x14ac:dyDescent="0.3">
      <c r="A143" s="17"/>
      <c r="B143" s="17"/>
      <c r="C143" s="17"/>
      <c r="D143" s="17"/>
      <c r="E143" s="17"/>
      <c r="F143" s="17"/>
      <c r="G143" s="17"/>
      <c r="H143" s="28">
        <f t="shared" si="3"/>
        <v>0</v>
      </c>
      <c r="I143" s="17"/>
      <c r="J143" s="17"/>
      <c r="K143" s="17"/>
    </row>
    <row r="144" spans="1:11" ht="15" customHeight="1" x14ac:dyDescent="0.3">
      <c r="A144" s="45"/>
      <c r="B144" s="45"/>
      <c r="C144" s="45"/>
      <c r="D144" s="45"/>
      <c r="E144" s="45"/>
      <c r="F144" s="45"/>
      <c r="G144" s="45"/>
      <c r="H144" s="50">
        <f t="shared" si="3"/>
        <v>0</v>
      </c>
      <c r="I144" s="45"/>
      <c r="J144" s="45"/>
      <c r="K144" s="45"/>
    </row>
    <row r="145" spans="1:11" ht="15" customHeight="1" x14ac:dyDescent="0.3">
      <c r="A145" s="17"/>
      <c r="B145" s="17"/>
      <c r="C145" s="17"/>
      <c r="D145" s="17"/>
      <c r="E145" s="17"/>
      <c r="F145" s="17"/>
      <c r="G145" s="17"/>
      <c r="H145" s="28">
        <f t="shared" si="3"/>
        <v>0</v>
      </c>
      <c r="I145" s="17"/>
      <c r="J145" s="17"/>
      <c r="K145" s="17"/>
    </row>
    <row r="146" spans="1:11" ht="15" customHeight="1" x14ac:dyDescent="0.3">
      <c r="A146" s="45"/>
      <c r="B146" s="45"/>
      <c r="C146" s="45"/>
      <c r="D146" s="45"/>
      <c r="E146" s="45"/>
      <c r="F146" s="45"/>
      <c r="G146" s="45"/>
      <c r="H146" s="50">
        <f t="shared" si="3"/>
        <v>0</v>
      </c>
      <c r="I146" s="45"/>
      <c r="J146" s="45"/>
      <c r="K146" s="45"/>
    </row>
    <row r="147" spans="1:11" ht="15" customHeight="1" x14ac:dyDescent="0.3">
      <c r="A147" s="17"/>
      <c r="B147" s="17"/>
      <c r="C147" s="17"/>
      <c r="D147" s="17"/>
      <c r="E147" s="17"/>
      <c r="F147" s="17"/>
      <c r="G147" s="17"/>
      <c r="H147" s="28">
        <f t="shared" si="3"/>
        <v>0</v>
      </c>
      <c r="I147" s="17"/>
      <c r="J147" s="17"/>
      <c r="K147" s="17"/>
    </row>
    <row r="148" spans="1:11" ht="15" customHeight="1" x14ac:dyDescent="0.3">
      <c r="A148" s="45"/>
      <c r="B148" s="45"/>
      <c r="C148" s="45"/>
      <c r="D148" s="45"/>
      <c r="E148" s="45"/>
      <c r="F148" s="45"/>
      <c r="G148" s="45"/>
      <c r="H148" s="50">
        <f t="shared" si="3"/>
        <v>0</v>
      </c>
      <c r="I148" s="45"/>
      <c r="J148" s="45"/>
      <c r="K148" s="45"/>
    </row>
    <row r="149" spans="1:11" ht="15" customHeight="1" x14ac:dyDescent="0.3">
      <c r="A149" s="17"/>
      <c r="B149" s="17"/>
      <c r="C149" s="17"/>
      <c r="D149" s="17"/>
      <c r="E149" s="17"/>
      <c r="F149" s="17"/>
      <c r="G149" s="17"/>
      <c r="H149" s="28">
        <f t="shared" si="3"/>
        <v>0</v>
      </c>
      <c r="I149" s="17"/>
      <c r="J149" s="17"/>
      <c r="K149" s="17"/>
    </row>
    <row r="150" spans="1:11" ht="15" customHeight="1" x14ac:dyDescent="0.3">
      <c r="A150" s="45"/>
      <c r="B150" s="45"/>
      <c r="C150" s="45"/>
      <c r="D150" s="45"/>
      <c r="E150" s="45"/>
      <c r="F150" s="45"/>
      <c r="G150" s="45"/>
      <c r="H150" s="50">
        <f t="shared" si="3"/>
        <v>0</v>
      </c>
      <c r="I150" s="45"/>
      <c r="J150" s="45"/>
      <c r="K150" s="45"/>
    </row>
    <row r="151" spans="1:11" ht="15" customHeight="1" x14ac:dyDescent="0.3">
      <c r="A151" s="17"/>
      <c r="B151" s="17"/>
      <c r="C151" s="17"/>
      <c r="D151" s="17"/>
      <c r="E151" s="17"/>
      <c r="F151" s="17"/>
      <c r="G151" s="17"/>
      <c r="H151" s="28">
        <f t="shared" si="3"/>
        <v>0</v>
      </c>
      <c r="I151" s="17"/>
      <c r="J151" s="17"/>
      <c r="K151" s="17"/>
    </row>
    <row r="152" spans="1:11" ht="15" customHeight="1" x14ac:dyDescent="0.3">
      <c r="A152" s="45"/>
      <c r="B152" s="45"/>
      <c r="C152" s="45"/>
      <c r="D152" s="45"/>
      <c r="E152" s="45"/>
      <c r="F152" s="45"/>
      <c r="G152" s="45"/>
      <c r="H152" s="50">
        <f t="shared" si="3"/>
        <v>0</v>
      </c>
      <c r="I152" s="45"/>
      <c r="J152" s="45"/>
      <c r="K152" s="45"/>
    </row>
    <row r="153" spans="1:11" ht="15" customHeight="1" x14ac:dyDescent="0.3">
      <c r="A153" s="17"/>
      <c r="B153" s="17"/>
      <c r="C153" s="17"/>
      <c r="D153" s="17"/>
      <c r="E153" s="17"/>
      <c r="F153" s="17"/>
      <c r="G153" s="17"/>
      <c r="H153" s="28">
        <f t="shared" si="3"/>
        <v>0</v>
      </c>
      <c r="I153" s="17"/>
      <c r="J153" s="17"/>
      <c r="K153" s="17"/>
    </row>
    <row r="154" spans="1:11" ht="15" customHeight="1" x14ac:dyDescent="0.3">
      <c r="A154" s="45"/>
      <c r="B154" s="45"/>
      <c r="C154" s="45"/>
      <c r="D154" s="45"/>
      <c r="E154" s="45"/>
      <c r="F154" s="45"/>
      <c r="G154" s="45"/>
      <c r="H154" s="50">
        <f t="shared" si="3"/>
        <v>0</v>
      </c>
      <c r="I154" s="45"/>
      <c r="J154" s="45"/>
      <c r="K154" s="45"/>
    </row>
    <row r="155" spans="1:11" ht="15" customHeight="1" x14ac:dyDescent="0.3">
      <c r="A155" s="17"/>
      <c r="B155" s="17"/>
      <c r="C155" s="17"/>
      <c r="D155" s="17"/>
      <c r="E155" s="17"/>
      <c r="F155" s="17"/>
      <c r="G155" s="17"/>
      <c r="H155" s="28">
        <f t="shared" si="3"/>
        <v>0</v>
      </c>
      <c r="I155" s="17"/>
      <c r="J155" s="17"/>
      <c r="K155" s="17"/>
    </row>
    <row r="156" spans="1:11" ht="15" customHeight="1" x14ac:dyDescent="0.3">
      <c r="A156" s="45"/>
      <c r="B156" s="45"/>
      <c r="C156" s="45"/>
      <c r="D156" s="45"/>
      <c r="E156" s="45"/>
      <c r="F156" s="45"/>
      <c r="G156" s="45"/>
      <c r="H156" s="50">
        <f t="shared" si="3"/>
        <v>0</v>
      </c>
      <c r="I156" s="45"/>
      <c r="J156" s="45"/>
      <c r="K156" s="45"/>
    </row>
    <row r="157" spans="1:11" ht="15" customHeight="1" x14ac:dyDescent="0.3">
      <c r="A157" s="17"/>
      <c r="B157" s="17"/>
      <c r="C157" s="17"/>
      <c r="D157" s="17"/>
      <c r="E157" s="17"/>
      <c r="F157" s="17"/>
      <c r="G157" s="17"/>
      <c r="H157" s="28">
        <f t="shared" si="3"/>
        <v>0</v>
      </c>
      <c r="I157" s="17"/>
      <c r="J157" s="17"/>
      <c r="K157" s="17"/>
    </row>
    <row r="158" spans="1:11" ht="15" customHeight="1" x14ac:dyDescent="0.3">
      <c r="A158" s="45"/>
      <c r="B158" s="45"/>
      <c r="C158" s="45"/>
      <c r="D158" s="45"/>
      <c r="E158" s="45"/>
      <c r="F158" s="45"/>
      <c r="G158" s="45"/>
      <c r="H158" s="50">
        <f t="shared" si="3"/>
        <v>0</v>
      </c>
      <c r="I158" s="45"/>
      <c r="J158" s="45"/>
      <c r="K158" s="45"/>
    </row>
    <row r="159" spans="1:11" ht="15" customHeight="1" x14ac:dyDescent="0.3">
      <c r="A159" s="17"/>
      <c r="B159" s="17"/>
      <c r="C159" s="17"/>
      <c r="D159" s="17"/>
      <c r="E159" s="17"/>
      <c r="F159" s="17"/>
      <c r="G159" s="17"/>
      <c r="H159" s="28">
        <f t="shared" si="3"/>
        <v>0</v>
      </c>
      <c r="I159" s="17"/>
      <c r="J159" s="17"/>
      <c r="K159" s="17"/>
    </row>
    <row r="160" spans="1:11" ht="15" customHeight="1" x14ac:dyDescent="0.3">
      <c r="A160" s="45"/>
      <c r="B160" s="45"/>
      <c r="C160" s="45"/>
      <c r="D160" s="45"/>
      <c r="E160" s="45"/>
      <c r="F160" s="45"/>
      <c r="G160" s="45"/>
      <c r="H160" s="50">
        <f t="shared" si="3"/>
        <v>0</v>
      </c>
      <c r="I160" s="45"/>
      <c r="J160" s="45"/>
      <c r="K160" s="45"/>
    </row>
    <row r="161" spans="1:11" ht="15" customHeight="1" x14ac:dyDescent="0.3">
      <c r="A161" s="17"/>
      <c r="B161" s="17"/>
      <c r="C161" s="17"/>
      <c r="D161" s="17"/>
      <c r="E161" s="17"/>
      <c r="F161" s="17"/>
      <c r="G161" s="17"/>
      <c r="H161" s="28">
        <f t="shared" si="3"/>
        <v>0</v>
      </c>
      <c r="I161" s="17"/>
      <c r="J161" s="17"/>
      <c r="K161" s="17"/>
    </row>
    <row r="162" spans="1:11" ht="15" customHeight="1" x14ac:dyDescent="0.3">
      <c r="A162" s="45"/>
      <c r="B162" s="45"/>
      <c r="C162" s="45"/>
      <c r="D162" s="45"/>
      <c r="E162" s="45"/>
      <c r="F162" s="45"/>
      <c r="G162" s="45"/>
      <c r="H162" s="50">
        <f t="shared" si="3"/>
        <v>0</v>
      </c>
      <c r="I162" s="45"/>
      <c r="J162" s="45"/>
      <c r="K162" s="45"/>
    </row>
    <row r="163" spans="1:11" ht="15" customHeight="1" x14ac:dyDescent="0.3">
      <c r="A163" s="17"/>
      <c r="B163" s="17"/>
      <c r="C163" s="17"/>
      <c r="D163" s="17"/>
      <c r="E163" s="17"/>
      <c r="F163" s="17"/>
      <c r="G163" s="17"/>
      <c r="H163" s="28">
        <f t="shared" si="3"/>
        <v>0</v>
      </c>
      <c r="I163" s="17"/>
      <c r="J163" s="17"/>
      <c r="K163" s="17"/>
    </row>
    <row r="164" spans="1:11" ht="15" customHeight="1" x14ac:dyDescent="0.3">
      <c r="A164" s="45"/>
      <c r="B164" s="45"/>
      <c r="C164" s="45"/>
      <c r="D164" s="45"/>
      <c r="E164" s="45"/>
      <c r="F164" s="45"/>
      <c r="G164" s="45"/>
      <c r="H164" s="50">
        <f t="shared" si="3"/>
        <v>0</v>
      </c>
      <c r="I164" s="45"/>
      <c r="J164" s="45"/>
      <c r="K164" s="45"/>
    </row>
    <row r="165" spans="1:11" ht="15" customHeight="1" x14ac:dyDescent="0.3">
      <c r="A165" s="17"/>
      <c r="B165" s="17"/>
      <c r="C165" s="17"/>
      <c r="D165" s="17"/>
      <c r="E165" s="17"/>
      <c r="F165" s="17"/>
      <c r="G165" s="17"/>
      <c r="H165" s="28">
        <f t="shared" si="3"/>
        <v>0</v>
      </c>
      <c r="I165" s="17"/>
      <c r="J165" s="17"/>
      <c r="K165" s="17"/>
    </row>
    <row r="166" spans="1:11" ht="15" customHeight="1" x14ac:dyDescent="0.3">
      <c r="A166" s="45"/>
      <c r="B166" s="45"/>
      <c r="C166" s="45"/>
      <c r="D166" s="45"/>
      <c r="E166" s="45"/>
      <c r="F166" s="45"/>
      <c r="G166" s="45"/>
      <c r="H166" s="50">
        <f t="shared" si="3"/>
        <v>0</v>
      </c>
      <c r="I166" s="45"/>
      <c r="J166" s="45"/>
      <c r="K166" s="45"/>
    </row>
    <row r="167" spans="1:11" ht="15" customHeight="1" x14ac:dyDescent="0.3">
      <c r="A167" s="17"/>
      <c r="B167" s="17"/>
      <c r="C167" s="17"/>
      <c r="D167" s="17"/>
      <c r="E167" s="17"/>
      <c r="F167" s="17"/>
      <c r="G167" s="17"/>
      <c r="H167" s="28">
        <f t="shared" si="3"/>
        <v>0</v>
      </c>
      <c r="I167" s="17"/>
      <c r="J167" s="17"/>
      <c r="K167" s="17"/>
    </row>
    <row r="168" spans="1:11" ht="15" customHeight="1" x14ac:dyDescent="0.3">
      <c r="A168" s="45"/>
      <c r="B168" s="45"/>
      <c r="C168" s="45"/>
      <c r="D168" s="45"/>
      <c r="E168" s="45"/>
      <c r="F168" s="45"/>
      <c r="G168" s="45"/>
      <c r="H168" s="50">
        <f t="shared" si="3"/>
        <v>0</v>
      </c>
      <c r="I168" s="45"/>
      <c r="J168" s="45"/>
      <c r="K168" s="45"/>
    </row>
    <row r="169" spans="1:11" ht="15" customHeight="1" x14ac:dyDescent="0.3">
      <c r="A169" s="17"/>
      <c r="B169" s="17"/>
      <c r="C169" s="17"/>
      <c r="D169" s="17"/>
      <c r="E169" s="17"/>
      <c r="F169" s="17"/>
      <c r="G169" s="17"/>
      <c r="H169" s="28">
        <f t="shared" si="3"/>
        <v>0</v>
      </c>
      <c r="I169" s="17"/>
      <c r="J169" s="17"/>
      <c r="K169" s="17"/>
    </row>
    <row r="170" spans="1:11" ht="15" customHeight="1" x14ac:dyDescent="0.3">
      <c r="A170" s="45"/>
      <c r="B170" s="45"/>
      <c r="C170" s="45"/>
      <c r="D170" s="45"/>
      <c r="E170" s="45"/>
      <c r="F170" s="45"/>
      <c r="G170" s="45"/>
      <c r="H170" s="50">
        <f t="shared" si="3"/>
        <v>0</v>
      </c>
      <c r="I170" s="45"/>
      <c r="J170" s="45"/>
      <c r="K170" s="45"/>
    </row>
    <row r="171" spans="1:11" ht="15" customHeight="1" x14ac:dyDescent="0.3">
      <c r="A171" s="17"/>
      <c r="B171" s="17"/>
      <c r="C171" s="17"/>
      <c r="D171" s="17"/>
      <c r="E171" s="17"/>
      <c r="F171" s="17"/>
      <c r="G171" s="17"/>
      <c r="H171" s="28">
        <f t="shared" si="3"/>
        <v>0</v>
      </c>
      <c r="I171" s="17"/>
      <c r="J171" s="17"/>
      <c r="K171" s="17"/>
    </row>
    <row r="172" spans="1:11" ht="15" customHeight="1" x14ac:dyDescent="0.3">
      <c r="A172" s="45"/>
      <c r="B172" s="45"/>
      <c r="C172" s="45"/>
      <c r="D172" s="45"/>
      <c r="E172" s="45"/>
      <c r="F172" s="45"/>
      <c r="G172" s="45"/>
      <c r="H172" s="50">
        <f t="shared" si="3"/>
        <v>0</v>
      </c>
      <c r="I172" s="45"/>
      <c r="J172" s="45"/>
      <c r="K172" s="45"/>
    </row>
    <row r="173" spans="1:11" ht="15" customHeight="1" x14ac:dyDescent="0.3">
      <c r="A173" s="17"/>
      <c r="B173" s="17"/>
      <c r="C173" s="17"/>
      <c r="D173" s="17"/>
      <c r="E173" s="17"/>
      <c r="F173" s="17"/>
      <c r="G173" s="17"/>
      <c r="H173" s="28">
        <f t="shared" si="3"/>
        <v>0</v>
      </c>
      <c r="I173" s="17"/>
      <c r="J173" s="17"/>
      <c r="K173" s="17"/>
    </row>
    <row r="174" spans="1:11" ht="15" customHeight="1" x14ac:dyDescent="0.3">
      <c r="A174" s="45"/>
      <c r="B174" s="45"/>
      <c r="C174" s="45"/>
      <c r="D174" s="45"/>
      <c r="E174" s="45"/>
      <c r="F174" s="45"/>
      <c r="G174" s="45"/>
      <c r="H174" s="50">
        <f t="shared" si="3"/>
        <v>0</v>
      </c>
      <c r="I174" s="45"/>
      <c r="J174" s="45"/>
      <c r="K174" s="45"/>
    </row>
    <row r="175" spans="1:11" ht="15" customHeight="1" x14ac:dyDescent="0.3">
      <c r="A175" s="17"/>
      <c r="B175" s="17"/>
      <c r="C175" s="17"/>
      <c r="D175" s="17"/>
      <c r="E175" s="17"/>
      <c r="F175" s="17"/>
      <c r="G175" s="17"/>
      <c r="H175" s="28">
        <f t="shared" si="3"/>
        <v>0</v>
      </c>
      <c r="I175" s="17"/>
      <c r="J175" s="17"/>
      <c r="K175" s="17"/>
    </row>
    <row r="176" spans="1:11" ht="15" customHeight="1" x14ac:dyDescent="0.3">
      <c r="A176" s="45"/>
      <c r="B176" s="45"/>
      <c r="C176" s="45"/>
      <c r="D176" s="45"/>
      <c r="E176" s="45"/>
      <c r="F176" s="45"/>
      <c r="G176" s="45"/>
      <c r="H176" s="50">
        <f t="shared" si="3"/>
        <v>0</v>
      </c>
      <c r="I176" s="45"/>
      <c r="J176" s="45"/>
      <c r="K176" s="45"/>
    </row>
    <row r="177" spans="1:11" ht="15" customHeight="1" x14ac:dyDescent="0.3">
      <c r="A177" s="17"/>
      <c r="B177" s="17"/>
      <c r="C177" s="17"/>
      <c r="D177" s="17"/>
      <c r="E177" s="17"/>
      <c r="F177" s="17"/>
      <c r="G177" s="17"/>
      <c r="H177" s="28">
        <f t="shared" si="3"/>
        <v>0</v>
      </c>
      <c r="I177" s="17"/>
      <c r="J177" s="17"/>
      <c r="K177" s="17"/>
    </row>
    <row r="178" spans="1:11" ht="15" customHeight="1" x14ac:dyDescent="0.3">
      <c r="A178" s="45"/>
      <c r="B178" s="45"/>
      <c r="C178" s="45"/>
      <c r="D178" s="45"/>
      <c r="E178" s="45"/>
      <c r="F178" s="45"/>
      <c r="G178" s="45"/>
      <c r="H178" s="50">
        <f t="shared" si="3"/>
        <v>0</v>
      </c>
      <c r="I178" s="45"/>
      <c r="J178" s="45"/>
      <c r="K178" s="45"/>
    </row>
    <row r="179" spans="1:11" ht="15" customHeight="1" x14ac:dyDescent="0.3">
      <c r="A179" s="17"/>
      <c r="B179" s="17"/>
      <c r="C179" s="17"/>
      <c r="D179" s="17"/>
      <c r="E179" s="17"/>
      <c r="F179" s="17"/>
      <c r="G179" s="17"/>
      <c r="H179" s="28">
        <f t="shared" si="3"/>
        <v>0</v>
      </c>
      <c r="I179" s="17"/>
      <c r="J179" s="17"/>
      <c r="K179" s="17"/>
    </row>
    <row r="180" spans="1:11" ht="15" customHeight="1" x14ac:dyDescent="0.3">
      <c r="A180" s="45"/>
      <c r="B180" s="45"/>
      <c r="C180" s="45"/>
      <c r="D180" s="45"/>
      <c r="E180" s="45"/>
      <c r="F180" s="45"/>
      <c r="G180" s="45"/>
      <c r="H180" s="50">
        <f t="shared" si="3"/>
        <v>0</v>
      </c>
      <c r="I180" s="45"/>
      <c r="J180" s="45"/>
      <c r="K180" s="45"/>
    </row>
    <row r="181" spans="1:11" ht="15" customHeight="1" x14ac:dyDescent="0.3">
      <c r="A181" s="17"/>
      <c r="B181" s="17"/>
      <c r="C181" s="17"/>
      <c r="D181" s="17"/>
      <c r="E181" s="17"/>
      <c r="F181" s="17"/>
      <c r="G181" s="17"/>
      <c r="H181" s="28">
        <f t="shared" si="3"/>
        <v>0</v>
      </c>
      <c r="I181" s="17"/>
      <c r="J181" s="17"/>
      <c r="K181" s="17"/>
    </row>
    <row r="182" spans="1:11" ht="15" customHeight="1" x14ac:dyDescent="0.3">
      <c r="A182" s="45"/>
      <c r="B182" s="45"/>
      <c r="C182" s="45"/>
      <c r="D182" s="45"/>
      <c r="E182" s="45"/>
      <c r="F182" s="45"/>
      <c r="G182" s="45"/>
      <c r="H182" s="50">
        <f t="shared" si="3"/>
        <v>0</v>
      </c>
      <c r="I182" s="45"/>
      <c r="J182" s="45"/>
      <c r="K182" s="45"/>
    </row>
    <row r="183" spans="1:11" ht="15" customHeight="1" x14ac:dyDescent="0.3">
      <c r="A183" s="17"/>
      <c r="B183" s="17"/>
      <c r="C183" s="17"/>
      <c r="D183" s="17"/>
      <c r="E183" s="17"/>
      <c r="F183" s="17"/>
      <c r="G183" s="17"/>
      <c r="H183" s="28">
        <f t="shared" si="3"/>
        <v>0</v>
      </c>
      <c r="I183" s="17"/>
      <c r="J183" s="17"/>
      <c r="K183" s="17"/>
    </row>
    <row r="184" spans="1:11" ht="15" customHeight="1" x14ac:dyDescent="0.3">
      <c r="A184" s="45"/>
      <c r="B184" s="45"/>
      <c r="C184" s="45"/>
      <c r="D184" s="45"/>
      <c r="E184" s="45"/>
      <c r="F184" s="45"/>
      <c r="G184" s="45"/>
      <c r="H184" s="50">
        <f t="shared" si="3"/>
        <v>0</v>
      </c>
      <c r="I184" s="45"/>
      <c r="J184" s="45"/>
      <c r="K184" s="45"/>
    </row>
    <row r="185" spans="1:11" ht="15" customHeight="1" x14ac:dyDescent="0.3">
      <c r="A185" s="17"/>
      <c r="B185" s="17"/>
      <c r="C185" s="17"/>
      <c r="D185" s="17"/>
      <c r="E185" s="17"/>
      <c r="F185" s="17"/>
      <c r="G185" s="17"/>
      <c r="H185" s="28">
        <f t="shared" si="3"/>
        <v>0</v>
      </c>
      <c r="I185" s="17"/>
      <c r="J185" s="17"/>
      <c r="K185" s="17"/>
    </row>
    <row r="186" spans="1:11" ht="15" customHeight="1" x14ac:dyDescent="0.3">
      <c r="A186" s="45"/>
      <c r="B186" s="45"/>
      <c r="C186" s="45"/>
      <c r="D186" s="45"/>
      <c r="E186" s="45"/>
      <c r="F186" s="45"/>
      <c r="G186" s="45"/>
      <c r="H186" s="50">
        <f t="shared" si="3"/>
        <v>0</v>
      </c>
      <c r="I186" s="45"/>
      <c r="J186" s="45"/>
      <c r="K186" s="45"/>
    </row>
    <row r="187" spans="1:11" ht="15" customHeight="1" x14ac:dyDescent="0.3">
      <c r="A187" s="17"/>
      <c r="B187" s="17"/>
      <c r="C187" s="17"/>
      <c r="D187" s="17"/>
      <c r="E187" s="17"/>
      <c r="F187" s="17"/>
      <c r="G187" s="17"/>
      <c r="H187" s="28">
        <f t="shared" si="3"/>
        <v>0</v>
      </c>
      <c r="I187" s="17"/>
      <c r="J187" s="17"/>
      <c r="K187" s="17"/>
    </row>
    <row r="188" spans="1:11" ht="15" customHeight="1" x14ac:dyDescent="0.3">
      <c r="A188" s="45"/>
      <c r="B188" s="45"/>
      <c r="C188" s="45"/>
      <c r="D188" s="45"/>
      <c r="E188" s="45"/>
      <c r="F188" s="45"/>
      <c r="G188" s="45"/>
      <c r="H188" s="50">
        <f t="shared" si="3"/>
        <v>0</v>
      </c>
      <c r="I188" s="45"/>
      <c r="J188" s="45"/>
      <c r="K188" s="45"/>
    </row>
    <row r="189" spans="1:11" ht="15" customHeight="1" x14ac:dyDescent="0.3">
      <c r="A189" s="17"/>
      <c r="B189" s="17"/>
      <c r="C189" s="17"/>
      <c r="D189" s="17"/>
      <c r="E189" s="17"/>
      <c r="F189" s="17"/>
      <c r="G189" s="17"/>
      <c r="H189" s="28">
        <f t="shared" si="3"/>
        <v>0</v>
      </c>
      <c r="I189" s="17"/>
      <c r="J189" s="17"/>
      <c r="K189" s="17"/>
    </row>
    <row r="190" spans="1:11" ht="15" customHeight="1" x14ac:dyDescent="0.3">
      <c r="A190" s="45"/>
      <c r="B190" s="45"/>
      <c r="C190" s="45"/>
      <c r="D190" s="45"/>
      <c r="E190" s="45"/>
      <c r="F190" s="45"/>
      <c r="G190" s="45"/>
      <c r="H190" s="50">
        <f t="shared" si="3"/>
        <v>0</v>
      </c>
      <c r="I190" s="45"/>
      <c r="J190" s="45"/>
      <c r="K190" s="45"/>
    </row>
    <row r="191" spans="1:11" ht="15" customHeight="1" x14ac:dyDescent="0.3">
      <c r="A191" s="17"/>
      <c r="B191" s="17"/>
      <c r="C191" s="17"/>
      <c r="D191" s="17"/>
      <c r="E191" s="17"/>
      <c r="F191" s="17"/>
      <c r="G191" s="17"/>
      <c r="H191" s="28">
        <f t="shared" si="3"/>
        <v>0</v>
      </c>
      <c r="I191" s="17"/>
      <c r="J191" s="17"/>
      <c r="K191" s="17"/>
    </row>
    <row r="192" spans="1:11" ht="15" customHeight="1" x14ac:dyDescent="0.3">
      <c r="A192" s="45"/>
      <c r="B192" s="45"/>
      <c r="C192" s="45"/>
      <c r="D192" s="45"/>
      <c r="E192" s="45"/>
      <c r="F192" s="45"/>
      <c r="G192" s="45"/>
      <c r="H192" s="50">
        <f t="shared" si="3"/>
        <v>0</v>
      </c>
      <c r="I192" s="45"/>
      <c r="J192" s="45"/>
      <c r="K192" s="45"/>
    </row>
    <row r="193" spans="1:11" ht="15" customHeight="1" x14ac:dyDescent="0.3">
      <c r="A193" s="17"/>
      <c r="B193" s="17"/>
      <c r="C193" s="17"/>
      <c r="D193" s="17"/>
      <c r="E193" s="17"/>
      <c r="F193" s="17"/>
      <c r="G193" s="17"/>
      <c r="H193" s="28">
        <f t="shared" si="3"/>
        <v>0</v>
      </c>
      <c r="I193" s="17"/>
      <c r="J193" s="17"/>
      <c r="K193" s="17"/>
    </row>
    <row r="194" spans="1:11" ht="15" customHeight="1" x14ac:dyDescent="0.3">
      <c r="A194" s="45"/>
      <c r="B194" s="45"/>
      <c r="C194" s="45"/>
      <c r="D194" s="45"/>
      <c r="E194" s="45"/>
      <c r="F194" s="45"/>
      <c r="G194" s="45"/>
      <c r="H194" s="50">
        <f t="shared" si="3"/>
        <v>0</v>
      </c>
      <c r="I194" s="45"/>
      <c r="J194" s="45"/>
      <c r="K194" s="45"/>
    </row>
    <row r="195" spans="1:11" ht="15" customHeight="1" x14ac:dyDescent="0.3">
      <c r="A195" s="17"/>
      <c r="B195" s="17"/>
      <c r="C195" s="17"/>
      <c r="D195" s="17"/>
      <c r="E195" s="17"/>
      <c r="F195" s="17"/>
      <c r="G195" s="17"/>
      <c r="H195" s="28">
        <f t="shared" si="3"/>
        <v>0</v>
      </c>
      <c r="I195" s="17"/>
      <c r="J195" s="17"/>
      <c r="K195" s="17"/>
    </row>
    <row r="196" spans="1:11" ht="15" customHeight="1" x14ac:dyDescent="0.3">
      <c r="A196" s="45"/>
      <c r="B196" s="45"/>
      <c r="C196" s="45"/>
      <c r="D196" s="45"/>
      <c r="E196" s="45"/>
      <c r="F196" s="45"/>
      <c r="G196" s="45"/>
      <c r="H196" s="50">
        <f t="shared" si="3"/>
        <v>0</v>
      </c>
      <c r="I196" s="45"/>
      <c r="J196" s="45"/>
      <c r="K196" s="45"/>
    </row>
    <row r="197" spans="1:11" ht="15" customHeight="1" x14ac:dyDescent="0.3">
      <c r="A197" s="17"/>
      <c r="B197" s="17"/>
      <c r="C197" s="17"/>
      <c r="D197" s="17"/>
      <c r="E197" s="17"/>
      <c r="F197" s="17"/>
      <c r="G197" s="17"/>
      <c r="H197" s="28">
        <f t="shared" si="3"/>
        <v>0</v>
      </c>
      <c r="I197" s="17"/>
      <c r="J197" s="17"/>
      <c r="K197" s="17"/>
    </row>
    <row r="198" spans="1:11" ht="15" customHeight="1" x14ac:dyDescent="0.3">
      <c r="A198" s="45"/>
      <c r="B198" s="45"/>
      <c r="C198" s="45"/>
      <c r="D198" s="45"/>
      <c r="E198" s="45"/>
      <c r="F198" s="45"/>
      <c r="G198" s="45"/>
      <c r="H198" s="50">
        <f t="shared" si="3"/>
        <v>0</v>
      </c>
      <c r="I198" s="45"/>
      <c r="J198" s="45"/>
      <c r="K198" s="45"/>
    </row>
    <row r="199" spans="1:11" ht="15" customHeight="1" x14ac:dyDescent="0.3">
      <c r="A199" s="17"/>
      <c r="B199" s="17"/>
      <c r="C199" s="17"/>
      <c r="D199" s="17"/>
      <c r="E199" s="17"/>
      <c r="F199" s="17"/>
      <c r="G199" s="17"/>
      <c r="H199" s="28">
        <f t="shared" si="3"/>
        <v>0</v>
      </c>
      <c r="I199" s="17"/>
      <c r="J199" s="17"/>
      <c r="K199" s="17"/>
    </row>
    <row r="200" spans="1:11" ht="15" customHeight="1" x14ac:dyDescent="0.3">
      <c r="A200" s="45"/>
      <c r="B200" s="45"/>
      <c r="C200" s="45"/>
      <c r="D200" s="45"/>
      <c r="E200" s="45"/>
      <c r="F200" s="45"/>
      <c r="G200" s="45"/>
      <c r="H200" s="50">
        <f t="shared" si="3"/>
        <v>0</v>
      </c>
      <c r="I200" s="45"/>
      <c r="J200" s="45"/>
      <c r="K200" s="45"/>
    </row>
    <row r="201" spans="1:11" ht="15" customHeight="1" x14ac:dyDescent="0.3">
      <c r="A201" s="17"/>
      <c r="B201" s="17"/>
      <c r="C201" s="17"/>
      <c r="D201" s="17"/>
      <c r="E201" s="17"/>
      <c r="F201" s="17"/>
      <c r="G201" s="17"/>
      <c r="H201" s="28">
        <f t="shared" si="3"/>
        <v>0</v>
      </c>
      <c r="I201" s="17"/>
      <c r="J201" s="17"/>
      <c r="K201" s="17"/>
    </row>
    <row r="202" spans="1:11" ht="15" customHeight="1" x14ac:dyDescent="0.3">
      <c r="A202" s="45"/>
      <c r="B202" s="45"/>
      <c r="C202" s="45"/>
      <c r="D202" s="45"/>
      <c r="E202" s="45"/>
      <c r="F202" s="45"/>
      <c r="G202" s="45"/>
      <c r="H202" s="50">
        <f t="shared" si="3"/>
        <v>0</v>
      </c>
      <c r="I202" s="45"/>
      <c r="J202" s="45"/>
      <c r="K202" s="45"/>
    </row>
    <row r="203" spans="1:11" ht="15" customHeight="1" x14ac:dyDescent="0.3">
      <c r="A203" s="17"/>
      <c r="B203" s="17"/>
      <c r="C203" s="17"/>
      <c r="D203" s="17"/>
      <c r="E203" s="17"/>
      <c r="F203" s="17"/>
      <c r="G203" s="17"/>
      <c r="H203" s="28">
        <f t="shared" ref="H203:H266" si="4">IFERROR(E203*G203,"")</f>
        <v>0</v>
      </c>
      <c r="I203" s="17"/>
      <c r="J203" s="17"/>
      <c r="K203" s="17"/>
    </row>
    <row r="204" spans="1:11" ht="15" customHeight="1" x14ac:dyDescent="0.3">
      <c r="A204" s="45"/>
      <c r="B204" s="45"/>
      <c r="C204" s="45"/>
      <c r="D204" s="45"/>
      <c r="E204" s="45"/>
      <c r="F204" s="45"/>
      <c r="G204" s="45"/>
      <c r="H204" s="50">
        <f t="shared" si="4"/>
        <v>0</v>
      </c>
      <c r="I204" s="45"/>
      <c r="J204" s="45"/>
      <c r="K204" s="45"/>
    </row>
    <row r="205" spans="1:11" ht="15" customHeight="1" x14ac:dyDescent="0.3">
      <c r="A205" s="17"/>
      <c r="B205" s="17"/>
      <c r="C205" s="17"/>
      <c r="D205" s="17"/>
      <c r="E205" s="17"/>
      <c r="F205" s="17"/>
      <c r="G205" s="17"/>
      <c r="H205" s="28">
        <f t="shared" si="4"/>
        <v>0</v>
      </c>
      <c r="I205" s="17"/>
      <c r="J205" s="17"/>
      <c r="K205" s="17"/>
    </row>
    <row r="206" spans="1:11" ht="15" customHeight="1" x14ac:dyDescent="0.3">
      <c r="A206" s="45"/>
      <c r="B206" s="45"/>
      <c r="C206" s="45"/>
      <c r="D206" s="45"/>
      <c r="E206" s="45"/>
      <c r="F206" s="45"/>
      <c r="G206" s="45"/>
      <c r="H206" s="50">
        <f t="shared" si="4"/>
        <v>0</v>
      </c>
      <c r="I206" s="45"/>
      <c r="J206" s="45"/>
      <c r="K206" s="45"/>
    </row>
    <row r="207" spans="1:11" ht="15" customHeight="1" x14ac:dyDescent="0.3">
      <c r="A207" s="17"/>
      <c r="B207" s="17"/>
      <c r="C207" s="17"/>
      <c r="D207" s="17"/>
      <c r="E207" s="17"/>
      <c r="F207" s="17"/>
      <c r="G207" s="17"/>
      <c r="H207" s="28">
        <f t="shared" si="4"/>
        <v>0</v>
      </c>
      <c r="I207" s="17"/>
      <c r="J207" s="17"/>
      <c r="K207" s="17"/>
    </row>
    <row r="208" spans="1:11" ht="15" customHeight="1" x14ac:dyDescent="0.3">
      <c r="A208" s="45"/>
      <c r="B208" s="45"/>
      <c r="C208" s="45"/>
      <c r="D208" s="45"/>
      <c r="E208" s="45"/>
      <c r="F208" s="45"/>
      <c r="G208" s="45"/>
      <c r="H208" s="50">
        <f t="shared" si="4"/>
        <v>0</v>
      </c>
      <c r="I208" s="45"/>
      <c r="J208" s="45"/>
      <c r="K208" s="45"/>
    </row>
    <row r="209" spans="1:11" ht="15" customHeight="1" x14ac:dyDescent="0.3">
      <c r="A209" s="17"/>
      <c r="B209" s="17"/>
      <c r="C209" s="17"/>
      <c r="D209" s="17"/>
      <c r="E209" s="17"/>
      <c r="F209" s="17"/>
      <c r="G209" s="17"/>
      <c r="H209" s="28">
        <f t="shared" si="4"/>
        <v>0</v>
      </c>
      <c r="I209" s="17"/>
      <c r="J209" s="17"/>
      <c r="K209" s="17"/>
    </row>
    <row r="210" spans="1:11" ht="15" customHeight="1" x14ac:dyDescent="0.3">
      <c r="A210" s="45"/>
      <c r="B210" s="45"/>
      <c r="C210" s="45"/>
      <c r="D210" s="45"/>
      <c r="E210" s="45"/>
      <c r="F210" s="45"/>
      <c r="G210" s="45"/>
      <c r="H210" s="50">
        <f t="shared" si="4"/>
        <v>0</v>
      </c>
      <c r="I210" s="45"/>
      <c r="J210" s="45"/>
      <c r="K210" s="45"/>
    </row>
    <row r="211" spans="1:11" ht="15" customHeight="1" x14ac:dyDescent="0.3">
      <c r="A211" s="17"/>
      <c r="B211" s="17"/>
      <c r="C211" s="17"/>
      <c r="D211" s="17"/>
      <c r="E211" s="17"/>
      <c r="F211" s="17"/>
      <c r="G211" s="17"/>
      <c r="H211" s="28">
        <f t="shared" si="4"/>
        <v>0</v>
      </c>
      <c r="I211" s="17"/>
      <c r="J211" s="17"/>
      <c r="K211" s="17"/>
    </row>
    <row r="212" spans="1:11" ht="15" customHeight="1" x14ac:dyDescent="0.3">
      <c r="A212" s="45"/>
      <c r="B212" s="45"/>
      <c r="C212" s="45"/>
      <c r="D212" s="45"/>
      <c r="E212" s="45"/>
      <c r="F212" s="45"/>
      <c r="G212" s="45"/>
      <c r="H212" s="50">
        <f t="shared" si="4"/>
        <v>0</v>
      </c>
      <c r="I212" s="45"/>
      <c r="J212" s="45"/>
      <c r="K212" s="45"/>
    </row>
    <row r="213" spans="1:11" ht="15" customHeight="1" x14ac:dyDescent="0.3">
      <c r="A213" s="17"/>
      <c r="B213" s="17"/>
      <c r="C213" s="17"/>
      <c r="D213" s="17"/>
      <c r="E213" s="17"/>
      <c r="F213" s="17"/>
      <c r="G213" s="17"/>
      <c r="H213" s="28">
        <f t="shared" si="4"/>
        <v>0</v>
      </c>
      <c r="I213" s="17"/>
      <c r="J213" s="17"/>
      <c r="K213" s="17"/>
    </row>
    <row r="214" spans="1:11" ht="15" customHeight="1" x14ac:dyDescent="0.3">
      <c r="A214" s="45"/>
      <c r="B214" s="45"/>
      <c r="C214" s="45"/>
      <c r="D214" s="45"/>
      <c r="E214" s="45"/>
      <c r="F214" s="45"/>
      <c r="G214" s="45"/>
      <c r="H214" s="50">
        <f t="shared" si="4"/>
        <v>0</v>
      </c>
      <c r="I214" s="45"/>
      <c r="J214" s="45"/>
      <c r="K214" s="45"/>
    </row>
    <row r="215" spans="1:11" ht="15" customHeight="1" x14ac:dyDescent="0.3">
      <c r="A215" s="17"/>
      <c r="B215" s="17"/>
      <c r="C215" s="17"/>
      <c r="D215" s="17"/>
      <c r="E215" s="17"/>
      <c r="F215" s="17"/>
      <c r="G215" s="17"/>
      <c r="H215" s="28">
        <f t="shared" si="4"/>
        <v>0</v>
      </c>
      <c r="I215" s="17"/>
      <c r="J215" s="17"/>
      <c r="K215" s="17"/>
    </row>
    <row r="216" spans="1:11" ht="15" customHeight="1" x14ac:dyDescent="0.3">
      <c r="A216" s="45"/>
      <c r="B216" s="45"/>
      <c r="C216" s="45"/>
      <c r="D216" s="45"/>
      <c r="E216" s="45"/>
      <c r="F216" s="45"/>
      <c r="G216" s="45"/>
      <c r="H216" s="50">
        <f t="shared" si="4"/>
        <v>0</v>
      </c>
      <c r="I216" s="45"/>
      <c r="J216" s="45"/>
      <c r="K216" s="45"/>
    </row>
    <row r="217" spans="1:11" ht="15" customHeight="1" x14ac:dyDescent="0.3">
      <c r="A217" s="17"/>
      <c r="B217" s="17"/>
      <c r="C217" s="17"/>
      <c r="D217" s="17"/>
      <c r="E217" s="17"/>
      <c r="F217" s="17"/>
      <c r="G217" s="17"/>
      <c r="H217" s="28">
        <f t="shared" si="4"/>
        <v>0</v>
      </c>
      <c r="I217" s="17"/>
      <c r="J217" s="17"/>
      <c r="K217" s="17"/>
    </row>
    <row r="218" spans="1:11" ht="15" customHeight="1" x14ac:dyDescent="0.3">
      <c r="A218" s="45"/>
      <c r="B218" s="45"/>
      <c r="C218" s="45"/>
      <c r="D218" s="45"/>
      <c r="E218" s="45"/>
      <c r="F218" s="45"/>
      <c r="G218" s="45"/>
      <c r="H218" s="50">
        <f t="shared" si="4"/>
        <v>0</v>
      </c>
      <c r="I218" s="45"/>
      <c r="J218" s="45"/>
      <c r="K218" s="45"/>
    </row>
    <row r="219" spans="1:11" ht="15" customHeight="1" x14ac:dyDescent="0.3">
      <c r="A219" s="17"/>
      <c r="B219" s="17"/>
      <c r="C219" s="17"/>
      <c r="D219" s="17"/>
      <c r="E219" s="17"/>
      <c r="F219" s="17"/>
      <c r="G219" s="17"/>
      <c r="H219" s="28">
        <f t="shared" si="4"/>
        <v>0</v>
      </c>
      <c r="I219" s="17"/>
      <c r="J219" s="17"/>
      <c r="K219" s="17"/>
    </row>
    <row r="220" spans="1:11" ht="15" customHeight="1" x14ac:dyDescent="0.3">
      <c r="A220" s="45"/>
      <c r="B220" s="45"/>
      <c r="C220" s="45"/>
      <c r="D220" s="45"/>
      <c r="E220" s="45"/>
      <c r="F220" s="45"/>
      <c r="G220" s="45"/>
      <c r="H220" s="50">
        <f t="shared" si="4"/>
        <v>0</v>
      </c>
      <c r="I220" s="45"/>
      <c r="J220" s="45"/>
      <c r="K220" s="45"/>
    </row>
    <row r="221" spans="1:11" ht="15" customHeight="1" x14ac:dyDescent="0.3">
      <c r="A221" s="17"/>
      <c r="B221" s="17"/>
      <c r="C221" s="17"/>
      <c r="D221" s="17"/>
      <c r="E221" s="17"/>
      <c r="F221" s="17"/>
      <c r="G221" s="17"/>
      <c r="H221" s="28">
        <f t="shared" si="4"/>
        <v>0</v>
      </c>
      <c r="I221" s="17"/>
      <c r="J221" s="17"/>
      <c r="K221" s="17"/>
    </row>
    <row r="222" spans="1:11" ht="15" customHeight="1" x14ac:dyDescent="0.3">
      <c r="A222" s="45"/>
      <c r="B222" s="45"/>
      <c r="C222" s="45"/>
      <c r="D222" s="45"/>
      <c r="E222" s="45"/>
      <c r="F222" s="45"/>
      <c r="G222" s="45"/>
      <c r="H222" s="50">
        <f t="shared" si="4"/>
        <v>0</v>
      </c>
      <c r="I222" s="45"/>
      <c r="J222" s="45"/>
      <c r="K222" s="45"/>
    </row>
    <row r="223" spans="1:11" ht="15" customHeight="1" x14ac:dyDescent="0.3">
      <c r="A223" s="17"/>
      <c r="B223" s="17"/>
      <c r="C223" s="17"/>
      <c r="D223" s="17"/>
      <c r="E223" s="17"/>
      <c r="F223" s="17"/>
      <c r="G223" s="17"/>
      <c r="H223" s="28">
        <f t="shared" si="4"/>
        <v>0</v>
      </c>
      <c r="I223" s="17"/>
      <c r="J223" s="17"/>
      <c r="K223" s="17"/>
    </row>
    <row r="224" spans="1:11" ht="15" customHeight="1" x14ac:dyDescent="0.3">
      <c r="A224" s="45"/>
      <c r="B224" s="45"/>
      <c r="C224" s="45"/>
      <c r="D224" s="45"/>
      <c r="E224" s="45"/>
      <c r="F224" s="45"/>
      <c r="G224" s="45"/>
      <c r="H224" s="50">
        <f t="shared" si="4"/>
        <v>0</v>
      </c>
      <c r="I224" s="45"/>
      <c r="J224" s="45"/>
      <c r="K224" s="45"/>
    </row>
    <row r="225" spans="1:11" ht="15" customHeight="1" x14ac:dyDescent="0.3">
      <c r="A225" s="17"/>
      <c r="B225" s="17"/>
      <c r="C225" s="17"/>
      <c r="D225" s="17"/>
      <c r="E225" s="17"/>
      <c r="F225" s="17"/>
      <c r="G225" s="17"/>
      <c r="H225" s="28">
        <f t="shared" si="4"/>
        <v>0</v>
      </c>
      <c r="I225" s="17"/>
      <c r="J225" s="17"/>
      <c r="K225" s="17"/>
    </row>
    <row r="226" spans="1:11" ht="15" customHeight="1" x14ac:dyDescent="0.3">
      <c r="A226" s="45"/>
      <c r="B226" s="45"/>
      <c r="C226" s="45"/>
      <c r="D226" s="45"/>
      <c r="E226" s="45"/>
      <c r="F226" s="45"/>
      <c r="G226" s="45"/>
      <c r="H226" s="50">
        <f t="shared" si="4"/>
        <v>0</v>
      </c>
      <c r="I226" s="45"/>
      <c r="J226" s="45"/>
      <c r="K226" s="45"/>
    </row>
    <row r="227" spans="1:11" ht="15" customHeight="1" x14ac:dyDescent="0.3">
      <c r="A227" s="17"/>
      <c r="B227" s="17"/>
      <c r="C227" s="17"/>
      <c r="D227" s="17"/>
      <c r="E227" s="17"/>
      <c r="F227" s="17"/>
      <c r="G227" s="17"/>
      <c r="H227" s="28">
        <f t="shared" si="4"/>
        <v>0</v>
      </c>
      <c r="I227" s="17"/>
      <c r="J227" s="17"/>
      <c r="K227" s="17"/>
    </row>
    <row r="228" spans="1:11" ht="15" customHeight="1" x14ac:dyDescent="0.3">
      <c r="A228" s="45"/>
      <c r="B228" s="45"/>
      <c r="C228" s="45"/>
      <c r="D228" s="45"/>
      <c r="E228" s="45"/>
      <c r="F228" s="45"/>
      <c r="G228" s="45"/>
      <c r="H228" s="50">
        <f t="shared" si="4"/>
        <v>0</v>
      </c>
      <c r="I228" s="45"/>
      <c r="J228" s="45"/>
      <c r="K228" s="45"/>
    </row>
    <row r="229" spans="1:11" ht="15" customHeight="1" x14ac:dyDescent="0.3">
      <c r="A229" s="17"/>
      <c r="B229" s="17"/>
      <c r="C229" s="17"/>
      <c r="D229" s="17"/>
      <c r="E229" s="17"/>
      <c r="F229" s="17"/>
      <c r="G229" s="17"/>
      <c r="H229" s="28">
        <f t="shared" si="4"/>
        <v>0</v>
      </c>
      <c r="I229" s="17"/>
      <c r="J229" s="17"/>
      <c r="K229" s="17"/>
    </row>
    <row r="230" spans="1:11" ht="15" customHeight="1" x14ac:dyDescent="0.3">
      <c r="A230" s="45"/>
      <c r="B230" s="45"/>
      <c r="C230" s="45"/>
      <c r="D230" s="45"/>
      <c r="E230" s="45"/>
      <c r="F230" s="45"/>
      <c r="G230" s="45"/>
      <c r="H230" s="50">
        <f t="shared" si="4"/>
        <v>0</v>
      </c>
      <c r="I230" s="45"/>
      <c r="J230" s="45"/>
      <c r="K230" s="45"/>
    </row>
    <row r="231" spans="1:11" ht="15" customHeight="1" x14ac:dyDescent="0.3">
      <c r="A231" s="17"/>
      <c r="B231" s="17"/>
      <c r="C231" s="17"/>
      <c r="D231" s="17"/>
      <c r="E231" s="17"/>
      <c r="F231" s="17"/>
      <c r="G231" s="17"/>
      <c r="H231" s="28">
        <f t="shared" si="4"/>
        <v>0</v>
      </c>
      <c r="I231" s="17"/>
      <c r="J231" s="17"/>
      <c r="K231" s="17"/>
    </row>
    <row r="232" spans="1:11" ht="15" customHeight="1" x14ac:dyDescent="0.3">
      <c r="A232" s="45"/>
      <c r="B232" s="45"/>
      <c r="C232" s="45"/>
      <c r="D232" s="45"/>
      <c r="E232" s="45"/>
      <c r="F232" s="45"/>
      <c r="G232" s="45"/>
      <c r="H232" s="50">
        <f t="shared" si="4"/>
        <v>0</v>
      </c>
      <c r="I232" s="45"/>
      <c r="J232" s="45"/>
      <c r="K232" s="45"/>
    </row>
    <row r="233" spans="1:11" ht="15" customHeight="1" x14ac:dyDescent="0.3">
      <c r="A233" s="17"/>
      <c r="B233" s="17"/>
      <c r="C233" s="17"/>
      <c r="D233" s="17"/>
      <c r="E233" s="17"/>
      <c r="F233" s="17"/>
      <c r="G233" s="17"/>
      <c r="H233" s="28">
        <f t="shared" si="4"/>
        <v>0</v>
      </c>
      <c r="I233" s="17"/>
      <c r="J233" s="17"/>
      <c r="K233" s="17"/>
    </row>
    <row r="234" spans="1:11" ht="15" customHeight="1" x14ac:dyDescent="0.3">
      <c r="A234" s="45"/>
      <c r="B234" s="45"/>
      <c r="C234" s="45"/>
      <c r="D234" s="45"/>
      <c r="E234" s="45"/>
      <c r="F234" s="45"/>
      <c r="G234" s="45"/>
      <c r="H234" s="50">
        <f t="shared" si="4"/>
        <v>0</v>
      </c>
      <c r="I234" s="45"/>
      <c r="J234" s="45"/>
      <c r="K234" s="45"/>
    </row>
    <row r="235" spans="1:11" ht="15" customHeight="1" x14ac:dyDescent="0.3">
      <c r="A235" s="17"/>
      <c r="B235" s="17"/>
      <c r="C235" s="17"/>
      <c r="D235" s="17"/>
      <c r="E235" s="17"/>
      <c r="F235" s="17"/>
      <c r="G235" s="17"/>
      <c r="H235" s="28">
        <f t="shared" si="4"/>
        <v>0</v>
      </c>
      <c r="I235" s="17"/>
      <c r="J235" s="17"/>
      <c r="K235" s="17"/>
    </row>
    <row r="236" spans="1:11" ht="15" customHeight="1" x14ac:dyDescent="0.3">
      <c r="A236" s="45"/>
      <c r="B236" s="45"/>
      <c r="C236" s="45"/>
      <c r="D236" s="45"/>
      <c r="E236" s="45"/>
      <c r="F236" s="45"/>
      <c r="G236" s="45"/>
      <c r="H236" s="50">
        <f t="shared" si="4"/>
        <v>0</v>
      </c>
      <c r="I236" s="45"/>
      <c r="J236" s="45"/>
      <c r="K236" s="45"/>
    </row>
    <row r="237" spans="1:11" ht="15" customHeight="1" x14ac:dyDescent="0.3">
      <c r="A237" s="17"/>
      <c r="B237" s="17"/>
      <c r="C237" s="17"/>
      <c r="D237" s="17"/>
      <c r="E237" s="17"/>
      <c r="F237" s="17"/>
      <c r="G237" s="17"/>
      <c r="H237" s="28">
        <f t="shared" si="4"/>
        <v>0</v>
      </c>
      <c r="I237" s="17"/>
      <c r="J237" s="17"/>
      <c r="K237" s="17"/>
    </row>
    <row r="238" spans="1:11" ht="15" customHeight="1" x14ac:dyDescent="0.3">
      <c r="A238" s="45"/>
      <c r="B238" s="45"/>
      <c r="C238" s="45"/>
      <c r="D238" s="45"/>
      <c r="E238" s="45"/>
      <c r="F238" s="45"/>
      <c r="G238" s="45"/>
      <c r="H238" s="50">
        <f t="shared" si="4"/>
        <v>0</v>
      </c>
      <c r="I238" s="45"/>
      <c r="J238" s="45"/>
      <c r="K238" s="45"/>
    </row>
    <row r="239" spans="1:11" ht="15" customHeight="1" x14ac:dyDescent="0.3">
      <c r="A239" s="17"/>
      <c r="B239" s="17"/>
      <c r="C239" s="17"/>
      <c r="D239" s="17"/>
      <c r="E239" s="17"/>
      <c r="F239" s="17"/>
      <c r="G239" s="17"/>
      <c r="H239" s="28">
        <f t="shared" si="4"/>
        <v>0</v>
      </c>
      <c r="I239" s="17"/>
      <c r="J239" s="17"/>
      <c r="K239" s="17"/>
    </row>
    <row r="240" spans="1:11" ht="15" customHeight="1" x14ac:dyDescent="0.3">
      <c r="A240" s="45"/>
      <c r="B240" s="45"/>
      <c r="C240" s="45"/>
      <c r="D240" s="45"/>
      <c r="E240" s="45"/>
      <c r="F240" s="45"/>
      <c r="G240" s="45"/>
      <c r="H240" s="50">
        <f t="shared" si="4"/>
        <v>0</v>
      </c>
      <c r="I240" s="45"/>
      <c r="J240" s="45"/>
      <c r="K240" s="45"/>
    </row>
    <row r="241" spans="1:11" ht="15" customHeight="1" x14ac:dyDescent="0.3">
      <c r="A241" s="17"/>
      <c r="B241" s="17"/>
      <c r="C241" s="17"/>
      <c r="D241" s="17"/>
      <c r="E241" s="17"/>
      <c r="F241" s="17"/>
      <c r="G241" s="17"/>
      <c r="H241" s="28">
        <f t="shared" si="4"/>
        <v>0</v>
      </c>
      <c r="I241" s="17"/>
      <c r="J241" s="17"/>
      <c r="K241" s="17"/>
    </row>
    <row r="242" spans="1:11" ht="15" customHeight="1" x14ac:dyDescent="0.3">
      <c r="A242" s="45"/>
      <c r="B242" s="45"/>
      <c r="C242" s="45"/>
      <c r="D242" s="45"/>
      <c r="E242" s="45"/>
      <c r="F242" s="45"/>
      <c r="G242" s="45"/>
      <c r="H242" s="50">
        <f t="shared" si="4"/>
        <v>0</v>
      </c>
      <c r="I242" s="45"/>
      <c r="J242" s="45"/>
      <c r="K242" s="45"/>
    </row>
    <row r="243" spans="1:11" ht="15" customHeight="1" x14ac:dyDescent="0.3">
      <c r="A243" s="17"/>
      <c r="B243" s="17"/>
      <c r="C243" s="17"/>
      <c r="D243" s="17"/>
      <c r="E243" s="17"/>
      <c r="F243" s="17"/>
      <c r="G243" s="17"/>
      <c r="H243" s="28">
        <f t="shared" si="4"/>
        <v>0</v>
      </c>
      <c r="I243" s="17"/>
      <c r="J243" s="17"/>
      <c r="K243" s="17"/>
    </row>
    <row r="244" spans="1:11" ht="15" customHeight="1" x14ac:dyDescent="0.3">
      <c r="A244" s="45"/>
      <c r="B244" s="45"/>
      <c r="C244" s="45"/>
      <c r="D244" s="45"/>
      <c r="E244" s="45"/>
      <c r="F244" s="45"/>
      <c r="G244" s="45"/>
      <c r="H244" s="50">
        <f t="shared" si="4"/>
        <v>0</v>
      </c>
      <c r="I244" s="45"/>
      <c r="J244" s="45"/>
      <c r="K244" s="45"/>
    </row>
    <row r="245" spans="1:11" ht="15" customHeight="1" x14ac:dyDescent="0.3">
      <c r="A245" s="17"/>
      <c r="B245" s="17"/>
      <c r="C245" s="17"/>
      <c r="D245" s="17"/>
      <c r="E245" s="17"/>
      <c r="F245" s="17"/>
      <c r="G245" s="17"/>
      <c r="H245" s="28">
        <f t="shared" si="4"/>
        <v>0</v>
      </c>
      <c r="I245" s="17"/>
      <c r="J245" s="17"/>
      <c r="K245" s="17"/>
    </row>
    <row r="246" spans="1:11" ht="15" customHeight="1" x14ac:dyDescent="0.3">
      <c r="A246" s="45"/>
      <c r="B246" s="45"/>
      <c r="C246" s="45"/>
      <c r="D246" s="45"/>
      <c r="E246" s="45"/>
      <c r="F246" s="45"/>
      <c r="G246" s="45"/>
      <c r="H246" s="50">
        <f t="shared" si="4"/>
        <v>0</v>
      </c>
      <c r="I246" s="45"/>
      <c r="J246" s="45"/>
      <c r="K246" s="45"/>
    </row>
    <row r="247" spans="1:11" ht="15" customHeight="1" x14ac:dyDescent="0.3">
      <c r="A247" s="17"/>
      <c r="B247" s="17"/>
      <c r="C247" s="17"/>
      <c r="D247" s="17"/>
      <c r="E247" s="17"/>
      <c r="F247" s="17"/>
      <c r="G247" s="17"/>
      <c r="H247" s="28">
        <f t="shared" si="4"/>
        <v>0</v>
      </c>
      <c r="I247" s="17"/>
      <c r="J247" s="17"/>
      <c r="K247" s="17"/>
    </row>
    <row r="248" spans="1:11" ht="15" customHeight="1" x14ac:dyDescent="0.3">
      <c r="A248" s="45"/>
      <c r="B248" s="45"/>
      <c r="C248" s="45"/>
      <c r="D248" s="45"/>
      <c r="E248" s="45"/>
      <c r="F248" s="45"/>
      <c r="G248" s="45"/>
      <c r="H248" s="50">
        <f t="shared" si="4"/>
        <v>0</v>
      </c>
      <c r="I248" s="45"/>
      <c r="J248" s="45"/>
      <c r="K248" s="45"/>
    </row>
    <row r="249" spans="1:11" ht="15" customHeight="1" x14ac:dyDescent="0.3">
      <c r="A249" s="17"/>
      <c r="B249" s="17"/>
      <c r="C249" s="17"/>
      <c r="D249" s="17"/>
      <c r="E249" s="17"/>
      <c r="F249" s="17"/>
      <c r="G249" s="17"/>
      <c r="H249" s="28">
        <f t="shared" si="4"/>
        <v>0</v>
      </c>
      <c r="I249" s="17"/>
      <c r="J249" s="17"/>
      <c r="K249" s="17"/>
    </row>
    <row r="250" spans="1:11" ht="15" customHeight="1" x14ac:dyDescent="0.3">
      <c r="A250" s="45"/>
      <c r="B250" s="45"/>
      <c r="C250" s="45"/>
      <c r="D250" s="45"/>
      <c r="E250" s="45"/>
      <c r="F250" s="45"/>
      <c r="G250" s="45"/>
      <c r="H250" s="50">
        <f t="shared" si="4"/>
        <v>0</v>
      </c>
      <c r="I250" s="45"/>
      <c r="J250" s="45"/>
      <c r="K250" s="45"/>
    </row>
    <row r="251" spans="1:11" ht="15" customHeight="1" x14ac:dyDescent="0.3">
      <c r="A251" s="17"/>
      <c r="B251" s="17"/>
      <c r="C251" s="17"/>
      <c r="D251" s="17"/>
      <c r="E251" s="17"/>
      <c r="F251" s="17"/>
      <c r="G251" s="17"/>
      <c r="H251" s="28">
        <f t="shared" si="4"/>
        <v>0</v>
      </c>
      <c r="I251" s="17"/>
      <c r="J251" s="17"/>
      <c r="K251" s="17"/>
    </row>
    <row r="252" spans="1:11" ht="15" customHeight="1" x14ac:dyDescent="0.3">
      <c r="A252" s="45"/>
      <c r="B252" s="45"/>
      <c r="C252" s="45"/>
      <c r="D252" s="45"/>
      <c r="E252" s="45"/>
      <c r="F252" s="45"/>
      <c r="G252" s="45"/>
      <c r="H252" s="50">
        <f t="shared" si="4"/>
        <v>0</v>
      </c>
      <c r="I252" s="45"/>
      <c r="J252" s="45"/>
      <c r="K252" s="45"/>
    </row>
    <row r="253" spans="1:11" ht="15" customHeight="1" x14ac:dyDescent="0.3">
      <c r="A253" s="17"/>
      <c r="B253" s="17"/>
      <c r="C253" s="17"/>
      <c r="D253" s="17"/>
      <c r="E253" s="17"/>
      <c r="F253" s="17"/>
      <c r="G253" s="17"/>
      <c r="H253" s="28">
        <f t="shared" si="4"/>
        <v>0</v>
      </c>
      <c r="I253" s="17"/>
      <c r="J253" s="17"/>
      <c r="K253" s="17"/>
    </row>
    <row r="254" spans="1:11" ht="15" customHeight="1" x14ac:dyDescent="0.3">
      <c r="A254" s="45"/>
      <c r="B254" s="45"/>
      <c r="C254" s="45"/>
      <c r="D254" s="45"/>
      <c r="E254" s="45"/>
      <c r="F254" s="45"/>
      <c r="G254" s="45"/>
      <c r="H254" s="50">
        <f t="shared" si="4"/>
        <v>0</v>
      </c>
      <c r="I254" s="45"/>
      <c r="J254" s="45"/>
      <c r="K254" s="45"/>
    </row>
    <row r="255" spans="1:11" ht="15" customHeight="1" x14ac:dyDescent="0.3">
      <c r="A255" s="17"/>
      <c r="B255" s="17"/>
      <c r="C255" s="17"/>
      <c r="D255" s="17"/>
      <c r="E255" s="17"/>
      <c r="F255" s="17"/>
      <c r="G255" s="17"/>
      <c r="H255" s="28">
        <f t="shared" si="4"/>
        <v>0</v>
      </c>
      <c r="I255" s="17"/>
      <c r="J255" s="17"/>
      <c r="K255" s="17"/>
    </row>
    <row r="256" spans="1:11" ht="15" customHeight="1" x14ac:dyDescent="0.3">
      <c r="A256" s="45"/>
      <c r="B256" s="45"/>
      <c r="C256" s="45"/>
      <c r="D256" s="45"/>
      <c r="E256" s="45"/>
      <c r="F256" s="45"/>
      <c r="G256" s="45"/>
      <c r="H256" s="50">
        <f t="shared" si="4"/>
        <v>0</v>
      </c>
      <c r="I256" s="45"/>
      <c r="J256" s="45"/>
      <c r="K256" s="45"/>
    </row>
    <row r="257" spans="1:11" ht="15" customHeight="1" x14ac:dyDescent="0.3">
      <c r="A257" s="17"/>
      <c r="B257" s="17"/>
      <c r="C257" s="17"/>
      <c r="D257" s="17"/>
      <c r="E257" s="17"/>
      <c r="F257" s="17"/>
      <c r="G257" s="17"/>
      <c r="H257" s="28">
        <f t="shared" si="4"/>
        <v>0</v>
      </c>
      <c r="I257" s="17"/>
      <c r="J257" s="17"/>
      <c r="K257" s="17"/>
    </row>
    <row r="258" spans="1:11" ht="15" customHeight="1" x14ac:dyDescent="0.3">
      <c r="A258" s="45"/>
      <c r="B258" s="45"/>
      <c r="C258" s="45"/>
      <c r="D258" s="45"/>
      <c r="E258" s="45"/>
      <c r="F258" s="45"/>
      <c r="G258" s="45"/>
      <c r="H258" s="50">
        <f t="shared" si="4"/>
        <v>0</v>
      </c>
      <c r="I258" s="45"/>
      <c r="J258" s="45"/>
      <c r="K258" s="45"/>
    </row>
    <row r="259" spans="1:11" ht="15" customHeight="1" x14ac:dyDescent="0.3">
      <c r="A259" s="17"/>
      <c r="B259" s="17"/>
      <c r="C259" s="17"/>
      <c r="D259" s="17"/>
      <c r="E259" s="17"/>
      <c r="F259" s="17"/>
      <c r="G259" s="17"/>
      <c r="H259" s="28">
        <f t="shared" si="4"/>
        <v>0</v>
      </c>
      <c r="I259" s="17"/>
      <c r="J259" s="17"/>
      <c r="K259" s="17"/>
    </row>
    <row r="260" spans="1:11" ht="15" customHeight="1" x14ac:dyDescent="0.3">
      <c r="A260" s="45"/>
      <c r="B260" s="45"/>
      <c r="C260" s="45"/>
      <c r="D260" s="45"/>
      <c r="E260" s="45"/>
      <c r="F260" s="45"/>
      <c r="G260" s="45"/>
      <c r="H260" s="50">
        <f t="shared" si="4"/>
        <v>0</v>
      </c>
      <c r="I260" s="45"/>
      <c r="J260" s="45"/>
      <c r="K260" s="45"/>
    </row>
    <row r="261" spans="1:11" ht="15" customHeight="1" x14ac:dyDescent="0.3">
      <c r="A261" s="17"/>
      <c r="B261" s="17"/>
      <c r="C261" s="17"/>
      <c r="D261" s="17"/>
      <c r="E261" s="17"/>
      <c r="F261" s="17"/>
      <c r="G261" s="17"/>
      <c r="H261" s="28">
        <f t="shared" si="4"/>
        <v>0</v>
      </c>
      <c r="I261" s="17"/>
      <c r="J261" s="17"/>
      <c r="K261" s="17"/>
    </row>
    <row r="262" spans="1:11" ht="15" customHeight="1" x14ac:dyDescent="0.3">
      <c r="A262" s="45"/>
      <c r="B262" s="45"/>
      <c r="C262" s="45"/>
      <c r="D262" s="45"/>
      <c r="E262" s="45"/>
      <c r="F262" s="45"/>
      <c r="G262" s="45"/>
      <c r="H262" s="50">
        <f t="shared" si="4"/>
        <v>0</v>
      </c>
      <c r="I262" s="45"/>
      <c r="J262" s="45"/>
      <c r="K262" s="45"/>
    </row>
    <row r="263" spans="1:11" ht="15" customHeight="1" x14ac:dyDescent="0.3">
      <c r="A263" s="17"/>
      <c r="B263" s="17"/>
      <c r="C263" s="17"/>
      <c r="D263" s="17"/>
      <c r="E263" s="17"/>
      <c r="F263" s="17"/>
      <c r="G263" s="17"/>
      <c r="H263" s="28">
        <f t="shared" si="4"/>
        <v>0</v>
      </c>
      <c r="I263" s="17"/>
      <c r="J263" s="17"/>
      <c r="K263" s="17"/>
    </row>
    <row r="264" spans="1:11" ht="15" customHeight="1" x14ac:dyDescent="0.3">
      <c r="A264" s="45"/>
      <c r="B264" s="45"/>
      <c r="C264" s="45"/>
      <c r="D264" s="45"/>
      <c r="E264" s="45"/>
      <c r="F264" s="45"/>
      <c r="G264" s="45"/>
      <c r="H264" s="50">
        <f t="shared" si="4"/>
        <v>0</v>
      </c>
      <c r="I264" s="45"/>
      <c r="J264" s="45"/>
      <c r="K264" s="45"/>
    </row>
    <row r="265" spans="1:11" ht="15" customHeight="1" x14ac:dyDescent="0.3">
      <c r="A265" s="17"/>
      <c r="B265" s="17"/>
      <c r="C265" s="17"/>
      <c r="D265" s="17"/>
      <c r="E265" s="17"/>
      <c r="F265" s="17"/>
      <c r="G265" s="17"/>
      <c r="H265" s="28">
        <f t="shared" si="4"/>
        <v>0</v>
      </c>
      <c r="I265" s="17"/>
      <c r="J265" s="17"/>
      <c r="K265" s="17"/>
    </row>
    <row r="266" spans="1:11" ht="15" customHeight="1" x14ac:dyDescent="0.3">
      <c r="A266" s="45"/>
      <c r="B266" s="45"/>
      <c r="C266" s="45"/>
      <c r="D266" s="45"/>
      <c r="E266" s="45"/>
      <c r="F266" s="45"/>
      <c r="G266" s="45"/>
      <c r="H266" s="50">
        <f t="shared" si="4"/>
        <v>0</v>
      </c>
      <c r="I266" s="45"/>
      <c r="J266" s="45"/>
      <c r="K266" s="45"/>
    </row>
    <row r="267" spans="1:11" ht="15" customHeight="1" x14ac:dyDescent="0.3">
      <c r="A267" s="17"/>
      <c r="B267" s="17"/>
      <c r="C267" s="17"/>
      <c r="D267" s="17"/>
      <c r="E267" s="17"/>
      <c r="F267" s="17"/>
      <c r="G267" s="17"/>
      <c r="H267" s="28">
        <f t="shared" ref="H267:H330" si="5">IFERROR(E267*G267,"")</f>
        <v>0</v>
      </c>
      <c r="I267" s="17"/>
      <c r="J267" s="17"/>
      <c r="K267" s="17"/>
    </row>
    <row r="268" spans="1:11" ht="15" customHeight="1" x14ac:dyDescent="0.3">
      <c r="A268" s="45"/>
      <c r="B268" s="45"/>
      <c r="C268" s="45"/>
      <c r="D268" s="45"/>
      <c r="E268" s="45"/>
      <c r="F268" s="45"/>
      <c r="G268" s="45"/>
      <c r="H268" s="50">
        <f t="shared" si="5"/>
        <v>0</v>
      </c>
      <c r="I268" s="45"/>
      <c r="J268" s="45"/>
      <c r="K268" s="45"/>
    </row>
    <row r="269" spans="1:11" ht="15" customHeight="1" x14ac:dyDescent="0.3">
      <c r="A269" s="17"/>
      <c r="B269" s="17"/>
      <c r="C269" s="17"/>
      <c r="D269" s="17"/>
      <c r="E269" s="17"/>
      <c r="F269" s="17"/>
      <c r="G269" s="17"/>
      <c r="H269" s="28">
        <f t="shared" si="5"/>
        <v>0</v>
      </c>
      <c r="I269" s="17"/>
      <c r="J269" s="17"/>
      <c r="K269" s="17"/>
    </row>
    <row r="270" spans="1:11" ht="15" customHeight="1" x14ac:dyDescent="0.3">
      <c r="A270" s="45"/>
      <c r="B270" s="45"/>
      <c r="C270" s="45"/>
      <c r="D270" s="45"/>
      <c r="E270" s="45"/>
      <c r="F270" s="45"/>
      <c r="G270" s="45"/>
      <c r="H270" s="50">
        <f t="shared" si="5"/>
        <v>0</v>
      </c>
      <c r="I270" s="45"/>
      <c r="J270" s="45"/>
      <c r="K270" s="45"/>
    </row>
    <row r="271" spans="1:11" ht="15" customHeight="1" x14ac:dyDescent="0.3">
      <c r="A271" s="17"/>
      <c r="B271" s="17"/>
      <c r="C271" s="17"/>
      <c r="D271" s="17"/>
      <c r="E271" s="17"/>
      <c r="F271" s="17"/>
      <c r="G271" s="17"/>
      <c r="H271" s="28">
        <f t="shared" si="5"/>
        <v>0</v>
      </c>
      <c r="I271" s="17"/>
      <c r="J271" s="17"/>
      <c r="K271" s="17"/>
    </row>
    <row r="272" spans="1:11" ht="15" customHeight="1" x14ac:dyDescent="0.3">
      <c r="A272" s="45"/>
      <c r="B272" s="45"/>
      <c r="C272" s="45"/>
      <c r="D272" s="45"/>
      <c r="E272" s="45"/>
      <c r="F272" s="45"/>
      <c r="G272" s="45"/>
      <c r="H272" s="50">
        <f t="shared" si="5"/>
        <v>0</v>
      </c>
      <c r="I272" s="45"/>
      <c r="J272" s="45"/>
      <c r="K272" s="45"/>
    </row>
    <row r="273" spans="1:11" ht="15" customHeight="1" x14ac:dyDescent="0.3">
      <c r="A273" s="17"/>
      <c r="B273" s="17"/>
      <c r="C273" s="17"/>
      <c r="D273" s="17"/>
      <c r="E273" s="17"/>
      <c r="F273" s="17"/>
      <c r="G273" s="17"/>
      <c r="H273" s="28">
        <f t="shared" si="5"/>
        <v>0</v>
      </c>
      <c r="I273" s="17"/>
      <c r="J273" s="17"/>
      <c r="K273" s="17"/>
    </row>
    <row r="274" spans="1:11" ht="15" customHeight="1" x14ac:dyDescent="0.3">
      <c r="A274" s="45"/>
      <c r="B274" s="45"/>
      <c r="C274" s="45"/>
      <c r="D274" s="45"/>
      <c r="E274" s="45"/>
      <c r="F274" s="45"/>
      <c r="G274" s="45"/>
      <c r="H274" s="50">
        <f t="shared" si="5"/>
        <v>0</v>
      </c>
      <c r="I274" s="45"/>
      <c r="J274" s="45"/>
      <c r="K274" s="45"/>
    </row>
    <row r="275" spans="1:11" ht="15" customHeight="1" x14ac:dyDescent="0.3">
      <c r="A275" s="17"/>
      <c r="B275" s="17"/>
      <c r="C275" s="17"/>
      <c r="D275" s="17"/>
      <c r="E275" s="17"/>
      <c r="F275" s="17"/>
      <c r="G275" s="17"/>
      <c r="H275" s="28">
        <f t="shared" si="5"/>
        <v>0</v>
      </c>
      <c r="I275" s="17"/>
      <c r="J275" s="17"/>
      <c r="K275" s="17"/>
    </row>
    <row r="276" spans="1:11" ht="15" customHeight="1" x14ac:dyDescent="0.3">
      <c r="A276" s="45"/>
      <c r="B276" s="45"/>
      <c r="C276" s="45"/>
      <c r="D276" s="45"/>
      <c r="E276" s="45"/>
      <c r="F276" s="45"/>
      <c r="G276" s="45"/>
      <c r="H276" s="50">
        <f t="shared" si="5"/>
        <v>0</v>
      </c>
      <c r="I276" s="45"/>
      <c r="J276" s="45"/>
      <c r="K276" s="45"/>
    </row>
    <row r="277" spans="1:11" ht="15" customHeight="1" x14ac:dyDescent="0.3">
      <c r="A277" s="17"/>
      <c r="B277" s="17"/>
      <c r="C277" s="17"/>
      <c r="D277" s="17"/>
      <c r="E277" s="17"/>
      <c r="F277" s="17"/>
      <c r="G277" s="17"/>
      <c r="H277" s="28">
        <f t="shared" si="5"/>
        <v>0</v>
      </c>
      <c r="I277" s="17"/>
      <c r="J277" s="17"/>
      <c r="K277" s="17"/>
    </row>
    <row r="278" spans="1:11" ht="15" customHeight="1" x14ac:dyDescent="0.3">
      <c r="A278" s="45"/>
      <c r="B278" s="45"/>
      <c r="C278" s="45"/>
      <c r="D278" s="45"/>
      <c r="E278" s="45"/>
      <c r="F278" s="45"/>
      <c r="G278" s="45"/>
      <c r="H278" s="50">
        <f t="shared" si="5"/>
        <v>0</v>
      </c>
      <c r="I278" s="45"/>
      <c r="J278" s="45"/>
      <c r="K278" s="45"/>
    </row>
    <row r="279" spans="1:11" ht="15" customHeight="1" x14ac:dyDescent="0.3">
      <c r="A279" s="17"/>
      <c r="B279" s="17"/>
      <c r="C279" s="17"/>
      <c r="D279" s="17"/>
      <c r="E279" s="17"/>
      <c r="F279" s="17"/>
      <c r="G279" s="17"/>
      <c r="H279" s="28">
        <f t="shared" si="5"/>
        <v>0</v>
      </c>
      <c r="I279" s="17"/>
      <c r="J279" s="17"/>
      <c r="K279" s="17"/>
    </row>
    <row r="280" spans="1:11" ht="15" customHeight="1" x14ac:dyDescent="0.3">
      <c r="A280" s="45"/>
      <c r="B280" s="45"/>
      <c r="C280" s="45"/>
      <c r="D280" s="45"/>
      <c r="E280" s="45"/>
      <c r="F280" s="45"/>
      <c r="G280" s="45"/>
      <c r="H280" s="50">
        <f t="shared" si="5"/>
        <v>0</v>
      </c>
      <c r="I280" s="45"/>
      <c r="J280" s="45"/>
      <c r="K280" s="45"/>
    </row>
    <row r="281" spans="1:11" ht="15" customHeight="1" x14ac:dyDescent="0.3">
      <c r="A281" s="17"/>
      <c r="B281" s="17"/>
      <c r="C281" s="17"/>
      <c r="D281" s="17"/>
      <c r="E281" s="17"/>
      <c r="F281" s="17"/>
      <c r="G281" s="17"/>
      <c r="H281" s="28">
        <f t="shared" si="5"/>
        <v>0</v>
      </c>
      <c r="I281" s="17"/>
      <c r="J281" s="17"/>
      <c r="K281" s="17"/>
    </row>
    <row r="282" spans="1:11" ht="15" customHeight="1" x14ac:dyDescent="0.3">
      <c r="A282" s="45"/>
      <c r="B282" s="45"/>
      <c r="C282" s="45"/>
      <c r="D282" s="45"/>
      <c r="E282" s="45"/>
      <c r="F282" s="45"/>
      <c r="G282" s="45"/>
      <c r="H282" s="50">
        <f t="shared" si="5"/>
        <v>0</v>
      </c>
      <c r="I282" s="45"/>
      <c r="J282" s="45"/>
      <c r="K282" s="45"/>
    </row>
    <row r="283" spans="1:11" ht="15" customHeight="1" x14ac:dyDescent="0.3">
      <c r="A283" s="17"/>
      <c r="B283" s="17"/>
      <c r="C283" s="17"/>
      <c r="D283" s="17"/>
      <c r="E283" s="17"/>
      <c r="F283" s="17"/>
      <c r="G283" s="17"/>
      <c r="H283" s="28">
        <f t="shared" si="5"/>
        <v>0</v>
      </c>
      <c r="I283" s="17"/>
      <c r="J283" s="17"/>
      <c r="K283" s="17"/>
    </row>
    <row r="284" spans="1:11" ht="15" customHeight="1" x14ac:dyDescent="0.3">
      <c r="A284" s="45"/>
      <c r="B284" s="45"/>
      <c r="C284" s="45"/>
      <c r="D284" s="45"/>
      <c r="E284" s="45"/>
      <c r="F284" s="45"/>
      <c r="G284" s="45"/>
      <c r="H284" s="50">
        <f t="shared" si="5"/>
        <v>0</v>
      </c>
      <c r="I284" s="45"/>
      <c r="J284" s="45"/>
      <c r="K284" s="45"/>
    </row>
    <row r="285" spans="1:11" ht="15" customHeight="1" x14ac:dyDescent="0.3">
      <c r="A285" s="17"/>
      <c r="B285" s="17"/>
      <c r="C285" s="17"/>
      <c r="D285" s="17"/>
      <c r="E285" s="17"/>
      <c r="F285" s="17"/>
      <c r="G285" s="17"/>
      <c r="H285" s="28">
        <f t="shared" si="5"/>
        <v>0</v>
      </c>
      <c r="I285" s="17"/>
      <c r="J285" s="17"/>
      <c r="K285" s="17"/>
    </row>
    <row r="286" spans="1:11" ht="15" customHeight="1" x14ac:dyDescent="0.3">
      <c r="A286" s="45"/>
      <c r="B286" s="45"/>
      <c r="C286" s="45"/>
      <c r="D286" s="45"/>
      <c r="E286" s="45"/>
      <c r="F286" s="45"/>
      <c r="G286" s="45"/>
      <c r="H286" s="50">
        <f t="shared" si="5"/>
        <v>0</v>
      </c>
      <c r="I286" s="45"/>
      <c r="J286" s="45"/>
      <c r="K286" s="45"/>
    </row>
    <row r="287" spans="1:11" ht="15" customHeight="1" x14ac:dyDescent="0.3">
      <c r="A287" s="17"/>
      <c r="B287" s="17"/>
      <c r="C287" s="17"/>
      <c r="D287" s="17"/>
      <c r="E287" s="17"/>
      <c r="F287" s="17"/>
      <c r="G287" s="17"/>
      <c r="H287" s="28">
        <f t="shared" si="5"/>
        <v>0</v>
      </c>
      <c r="I287" s="17"/>
      <c r="J287" s="17"/>
      <c r="K287" s="17"/>
    </row>
    <row r="288" spans="1:11" ht="15" customHeight="1" x14ac:dyDescent="0.3">
      <c r="A288" s="45"/>
      <c r="B288" s="45"/>
      <c r="C288" s="45"/>
      <c r="D288" s="45"/>
      <c r="E288" s="45"/>
      <c r="F288" s="45"/>
      <c r="G288" s="45"/>
      <c r="H288" s="50">
        <f t="shared" si="5"/>
        <v>0</v>
      </c>
      <c r="I288" s="45"/>
      <c r="J288" s="45"/>
      <c r="K288" s="45"/>
    </row>
    <row r="289" spans="1:11" ht="15" customHeight="1" x14ac:dyDescent="0.3">
      <c r="A289" s="17"/>
      <c r="B289" s="17"/>
      <c r="C289" s="17"/>
      <c r="D289" s="17"/>
      <c r="E289" s="17"/>
      <c r="F289" s="17"/>
      <c r="G289" s="17"/>
      <c r="H289" s="28">
        <f t="shared" si="5"/>
        <v>0</v>
      </c>
      <c r="I289" s="17"/>
      <c r="J289" s="17"/>
      <c r="K289" s="17"/>
    </row>
    <row r="290" spans="1:11" ht="15" customHeight="1" x14ac:dyDescent="0.3">
      <c r="A290" s="45"/>
      <c r="B290" s="45"/>
      <c r="C290" s="45"/>
      <c r="D290" s="45"/>
      <c r="E290" s="45"/>
      <c r="F290" s="45"/>
      <c r="G290" s="45"/>
      <c r="H290" s="50">
        <f t="shared" si="5"/>
        <v>0</v>
      </c>
      <c r="I290" s="45"/>
      <c r="J290" s="45"/>
      <c r="K290" s="45"/>
    </row>
    <row r="291" spans="1:11" ht="15" customHeight="1" x14ac:dyDescent="0.3">
      <c r="A291" s="17"/>
      <c r="B291" s="17"/>
      <c r="C291" s="17"/>
      <c r="D291" s="17"/>
      <c r="E291" s="17"/>
      <c r="F291" s="17"/>
      <c r="G291" s="17"/>
      <c r="H291" s="28">
        <f t="shared" si="5"/>
        <v>0</v>
      </c>
      <c r="I291" s="17"/>
      <c r="J291" s="17"/>
      <c r="K291" s="17"/>
    </row>
    <row r="292" spans="1:11" ht="15" customHeight="1" x14ac:dyDescent="0.3">
      <c r="A292" s="45"/>
      <c r="B292" s="45"/>
      <c r="C292" s="45"/>
      <c r="D292" s="45"/>
      <c r="E292" s="45"/>
      <c r="F292" s="45"/>
      <c r="G292" s="45"/>
      <c r="H292" s="50">
        <f t="shared" si="5"/>
        <v>0</v>
      </c>
      <c r="I292" s="45"/>
      <c r="J292" s="45"/>
      <c r="K292" s="45"/>
    </row>
    <row r="293" spans="1:11" ht="15" customHeight="1" x14ac:dyDescent="0.3">
      <c r="A293" s="17"/>
      <c r="B293" s="17"/>
      <c r="C293" s="17"/>
      <c r="D293" s="17"/>
      <c r="E293" s="17"/>
      <c r="F293" s="17"/>
      <c r="G293" s="17"/>
      <c r="H293" s="28">
        <f t="shared" si="5"/>
        <v>0</v>
      </c>
      <c r="I293" s="17"/>
      <c r="J293" s="17"/>
      <c r="K293" s="17"/>
    </row>
    <row r="294" spans="1:11" ht="15" customHeight="1" x14ac:dyDescent="0.3">
      <c r="A294" s="45"/>
      <c r="B294" s="45"/>
      <c r="C294" s="45"/>
      <c r="D294" s="45"/>
      <c r="E294" s="45"/>
      <c r="F294" s="45"/>
      <c r="G294" s="45"/>
      <c r="H294" s="50">
        <f t="shared" si="5"/>
        <v>0</v>
      </c>
      <c r="I294" s="45"/>
      <c r="J294" s="45"/>
      <c r="K294" s="45"/>
    </row>
    <row r="295" spans="1:11" ht="15" customHeight="1" x14ac:dyDescent="0.3">
      <c r="A295" s="17"/>
      <c r="B295" s="17"/>
      <c r="C295" s="17"/>
      <c r="D295" s="17"/>
      <c r="E295" s="17"/>
      <c r="F295" s="17"/>
      <c r="G295" s="17"/>
      <c r="H295" s="28">
        <f t="shared" si="5"/>
        <v>0</v>
      </c>
      <c r="I295" s="17"/>
      <c r="J295" s="17"/>
      <c r="K295" s="17"/>
    </row>
    <row r="296" spans="1:11" ht="15" customHeight="1" x14ac:dyDescent="0.3">
      <c r="A296" s="45"/>
      <c r="B296" s="45"/>
      <c r="C296" s="45"/>
      <c r="D296" s="45"/>
      <c r="E296" s="45"/>
      <c r="F296" s="45"/>
      <c r="G296" s="45"/>
      <c r="H296" s="50">
        <f t="shared" si="5"/>
        <v>0</v>
      </c>
      <c r="I296" s="45"/>
      <c r="J296" s="45"/>
      <c r="K296" s="45"/>
    </row>
    <row r="297" spans="1:11" ht="15" customHeight="1" x14ac:dyDescent="0.3">
      <c r="A297" s="17"/>
      <c r="B297" s="17"/>
      <c r="C297" s="17"/>
      <c r="D297" s="17"/>
      <c r="E297" s="17"/>
      <c r="F297" s="17"/>
      <c r="G297" s="17"/>
      <c r="H297" s="28">
        <f t="shared" si="5"/>
        <v>0</v>
      </c>
      <c r="I297" s="17"/>
      <c r="J297" s="17"/>
      <c r="K297" s="17"/>
    </row>
    <row r="298" spans="1:11" ht="15" customHeight="1" x14ac:dyDescent="0.3">
      <c r="A298" s="45"/>
      <c r="B298" s="45"/>
      <c r="C298" s="45"/>
      <c r="D298" s="45"/>
      <c r="E298" s="45"/>
      <c r="F298" s="45"/>
      <c r="G298" s="45"/>
      <c r="H298" s="50">
        <f t="shared" si="5"/>
        <v>0</v>
      </c>
      <c r="I298" s="45"/>
      <c r="J298" s="45"/>
      <c r="K298" s="45"/>
    </row>
    <row r="299" spans="1:11" ht="15" customHeight="1" x14ac:dyDescent="0.3">
      <c r="A299" s="17"/>
      <c r="B299" s="17"/>
      <c r="C299" s="17"/>
      <c r="D299" s="17"/>
      <c r="E299" s="17"/>
      <c r="F299" s="17"/>
      <c r="G299" s="17"/>
      <c r="H299" s="28">
        <f t="shared" si="5"/>
        <v>0</v>
      </c>
      <c r="I299" s="17"/>
      <c r="J299" s="17"/>
      <c r="K299" s="17"/>
    </row>
    <row r="300" spans="1:11" ht="15" customHeight="1" x14ac:dyDescent="0.3">
      <c r="A300" s="45"/>
      <c r="B300" s="45"/>
      <c r="C300" s="45"/>
      <c r="D300" s="45"/>
      <c r="E300" s="45"/>
      <c r="F300" s="45"/>
      <c r="G300" s="45"/>
      <c r="H300" s="50">
        <f t="shared" si="5"/>
        <v>0</v>
      </c>
      <c r="I300" s="45"/>
      <c r="J300" s="45"/>
      <c r="K300" s="45"/>
    </row>
    <row r="301" spans="1:11" ht="15" customHeight="1" x14ac:dyDescent="0.3">
      <c r="A301" s="17"/>
      <c r="B301" s="17"/>
      <c r="C301" s="17"/>
      <c r="D301" s="17"/>
      <c r="E301" s="17"/>
      <c r="F301" s="17"/>
      <c r="G301" s="17"/>
      <c r="H301" s="28">
        <f t="shared" si="5"/>
        <v>0</v>
      </c>
      <c r="I301" s="17"/>
      <c r="J301" s="17"/>
      <c r="K301" s="17"/>
    </row>
    <row r="303" spans="1:11" ht="15" customHeight="1" x14ac:dyDescent="0.3">
      <c r="A303" s="107" t="s">
        <v>171</v>
      </c>
      <c r="B303" s="107"/>
      <c r="C303" s="107"/>
      <c r="D303" s="107"/>
      <c r="E303" s="107"/>
      <c r="F303" s="107"/>
      <c r="G303" s="107"/>
      <c r="H303" s="51">
        <f>SUM(H4:H302)</f>
        <v>20470</v>
      </c>
    </row>
  </sheetData>
  <mergeCells count="3">
    <mergeCell ref="A1:K1"/>
    <mergeCell ref="A2:K2"/>
    <mergeCell ref="A303:G30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3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12" customWidth="1"/>
    <col min="3" max="3" width="24" customWidth="1"/>
    <col min="4" max="4" width="28" customWidth="1"/>
    <col min="5" max="5" width="14" customWidth="1"/>
    <col min="6" max="9" width="16" customWidth="1"/>
    <col min="10" max="10" width="12" customWidth="1"/>
  </cols>
  <sheetData>
    <row r="1" spans="1:10" ht="31.5" customHeight="1" x14ac:dyDescent="0.3">
      <c r="A1" s="108" t="s">
        <v>172</v>
      </c>
      <c r="B1" s="108"/>
      <c r="C1" s="108"/>
      <c r="D1" s="108"/>
      <c r="E1" s="108"/>
      <c r="F1" s="108"/>
      <c r="G1" s="108"/>
      <c r="H1" s="108"/>
      <c r="I1" s="108"/>
      <c r="J1" s="108"/>
    </row>
    <row r="3" spans="1:10" ht="21.75" customHeight="1" x14ac:dyDescent="0.3">
      <c r="A3" s="52" t="s">
        <v>132</v>
      </c>
      <c r="B3" s="52" t="s">
        <v>16</v>
      </c>
      <c r="C3" s="52" t="s">
        <v>127</v>
      </c>
      <c r="D3" s="52" t="s">
        <v>173</v>
      </c>
      <c r="E3" s="52" t="s">
        <v>174</v>
      </c>
      <c r="F3" s="52" t="s">
        <v>175</v>
      </c>
      <c r="G3" s="52" t="s">
        <v>176</v>
      </c>
      <c r="H3" s="52" t="s">
        <v>177</v>
      </c>
      <c r="I3" s="52" t="s">
        <v>178</v>
      </c>
      <c r="J3" s="52" t="s">
        <v>9</v>
      </c>
    </row>
    <row r="4" spans="1:10" ht="15" customHeight="1" x14ac:dyDescent="0.3">
      <c r="A4" s="53" t="s">
        <v>139</v>
      </c>
      <c r="B4" s="53" t="s">
        <v>26</v>
      </c>
      <c r="C4" s="53" t="s">
        <v>136</v>
      </c>
      <c r="D4" s="53" t="s">
        <v>179</v>
      </c>
      <c r="E4" s="54" t="s">
        <v>138</v>
      </c>
      <c r="F4" s="54" t="s">
        <v>89</v>
      </c>
      <c r="G4" s="53">
        <v>1500</v>
      </c>
      <c r="H4" s="53">
        <v>1500</v>
      </c>
      <c r="J4" s="55" t="s">
        <v>180</v>
      </c>
    </row>
    <row r="5" spans="1:10" ht="15" customHeight="1" x14ac:dyDescent="0.3">
      <c r="A5" s="17" t="s">
        <v>146</v>
      </c>
      <c r="B5" s="17" t="s">
        <v>26</v>
      </c>
      <c r="C5" s="17" t="s">
        <v>143</v>
      </c>
      <c r="D5" s="17" t="s">
        <v>181</v>
      </c>
      <c r="E5" s="18" t="s">
        <v>145</v>
      </c>
      <c r="F5" s="18" t="s">
        <v>182</v>
      </c>
      <c r="G5" s="17">
        <v>1100</v>
      </c>
      <c r="H5" s="17">
        <v>1100</v>
      </c>
      <c r="J5" s="56" t="s">
        <v>180</v>
      </c>
    </row>
    <row r="6" spans="1:10" ht="15" customHeight="1" x14ac:dyDescent="0.3">
      <c r="A6" s="53" t="s">
        <v>150</v>
      </c>
      <c r="B6" s="53" t="s">
        <v>26</v>
      </c>
      <c r="C6" s="53" t="s">
        <v>148</v>
      </c>
      <c r="D6" s="53" t="s">
        <v>183</v>
      </c>
      <c r="E6" s="54" t="s">
        <v>40</v>
      </c>
      <c r="F6" s="54" t="s">
        <v>184</v>
      </c>
      <c r="G6" s="53">
        <v>900</v>
      </c>
      <c r="H6" s="53">
        <v>0</v>
      </c>
      <c r="J6" s="57" t="s">
        <v>79</v>
      </c>
    </row>
    <row r="7" spans="1:10" ht="15" customHeight="1" x14ac:dyDescent="0.3">
      <c r="A7" s="17" t="s">
        <v>155</v>
      </c>
      <c r="B7" s="17" t="s">
        <v>26</v>
      </c>
      <c r="C7" s="17" t="s">
        <v>153</v>
      </c>
      <c r="D7" s="17" t="s">
        <v>185</v>
      </c>
      <c r="E7" s="18" t="s">
        <v>154</v>
      </c>
      <c r="F7" s="18" t="s">
        <v>186</v>
      </c>
      <c r="G7" s="17">
        <v>540</v>
      </c>
      <c r="H7" s="17">
        <v>270</v>
      </c>
      <c r="J7" s="58" t="s">
        <v>156</v>
      </c>
    </row>
    <row r="8" spans="1:10" ht="15" customHeight="1" x14ac:dyDescent="0.3">
      <c r="A8" s="53" t="s">
        <v>162</v>
      </c>
      <c r="B8" s="53" t="s">
        <v>36</v>
      </c>
      <c r="C8" s="53" t="s">
        <v>159</v>
      </c>
      <c r="D8" s="53" t="s">
        <v>187</v>
      </c>
      <c r="E8" s="54" t="s">
        <v>161</v>
      </c>
      <c r="F8" s="54" t="s">
        <v>93</v>
      </c>
      <c r="G8" s="53">
        <v>3330</v>
      </c>
      <c r="H8" s="53">
        <v>3330</v>
      </c>
      <c r="J8" s="55" t="s">
        <v>180</v>
      </c>
    </row>
    <row r="9" spans="1:10" ht="15" customHeight="1" x14ac:dyDescent="0.3">
      <c r="A9" s="17" t="s">
        <v>165</v>
      </c>
      <c r="B9" s="17" t="s">
        <v>36</v>
      </c>
      <c r="C9" s="17" t="s">
        <v>164</v>
      </c>
      <c r="D9" s="17" t="s">
        <v>188</v>
      </c>
      <c r="E9" s="18" t="s">
        <v>161</v>
      </c>
      <c r="F9" s="18" t="s">
        <v>93</v>
      </c>
      <c r="G9" s="17">
        <v>5500</v>
      </c>
      <c r="H9" s="17">
        <v>0</v>
      </c>
      <c r="J9" s="59" t="s">
        <v>79</v>
      </c>
    </row>
    <row r="10" spans="1:10" ht="15" customHeight="1" x14ac:dyDescent="0.3">
      <c r="A10" s="53"/>
      <c r="B10" s="53"/>
      <c r="C10" s="53"/>
      <c r="D10" s="53"/>
      <c r="E10" s="53"/>
      <c r="F10" s="53"/>
      <c r="G10" s="53"/>
      <c r="H10" s="53"/>
      <c r="I10" s="60">
        <f t="shared" ref="I10:I41" si="0">IFERROR(G10-H10,"")</f>
        <v>0</v>
      </c>
      <c r="J10" s="53"/>
    </row>
    <row r="11" spans="1:10" ht="15" customHeight="1" x14ac:dyDescent="0.3">
      <c r="A11" s="17"/>
      <c r="B11" s="17"/>
      <c r="C11" s="17"/>
      <c r="D11" s="17"/>
      <c r="E11" s="17"/>
      <c r="F11" s="17"/>
      <c r="G11" s="17"/>
      <c r="H11" s="17"/>
      <c r="I11" s="28">
        <f t="shared" si="0"/>
        <v>0</v>
      </c>
      <c r="J11" s="17"/>
    </row>
    <row r="12" spans="1:10" ht="15" customHeight="1" x14ac:dyDescent="0.3">
      <c r="A12" s="53"/>
      <c r="B12" s="53"/>
      <c r="C12" s="53"/>
      <c r="D12" s="53"/>
      <c r="E12" s="53"/>
      <c r="F12" s="53"/>
      <c r="G12" s="53"/>
      <c r="H12" s="53"/>
      <c r="I12" s="60">
        <f t="shared" si="0"/>
        <v>0</v>
      </c>
      <c r="J12" s="53"/>
    </row>
    <row r="13" spans="1:10" ht="15" customHeight="1" x14ac:dyDescent="0.3">
      <c r="A13" s="17"/>
      <c r="B13" s="17"/>
      <c r="C13" s="17"/>
      <c r="D13" s="17"/>
      <c r="E13" s="17"/>
      <c r="F13" s="17"/>
      <c r="G13" s="17"/>
      <c r="H13" s="17"/>
      <c r="I13" s="28">
        <f t="shared" si="0"/>
        <v>0</v>
      </c>
      <c r="J13" s="17"/>
    </row>
    <row r="14" spans="1:10" ht="15" customHeight="1" x14ac:dyDescent="0.3">
      <c r="A14" s="53"/>
      <c r="B14" s="53"/>
      <c r="C14" s="53"/>
      <c r="D14" s="53"/>
      <c r="E14" s="53"/>
      <c r="F14" s="53"/>
      <c r="G14" s="53"/>
      <c r="H14" s="53"/>
      <c r="I14" s="60">
        <f t="shared" si="0"/>
        <v>0</v>
      </c>
      <c r="J14" s="53"/>
    </row>
    <row r="15" spans="1:10" ht="15" customHeight="1" x14ac:dyDescent="0.3">
      <c r="A15" s="17"/>
      <c r="B15" s="17"/>
      <c r="C15" s="17"/>
      <c r="D15" s="17"/>
      <c r="E15" s="17"/>
      <c r="F15" s="17"/>
      <c r="G15" s="17"/>
      <c r="H15" s="17"/>
      <c r="I15" s="28">
        <f t="shared" si="0"/>
        <v>0</v>
      </c>
      <c r="J15" s="17"/>
    </row>
    <row r="16" spans="1:10" ht="15" customHeight="1" x14ac:dyDescent="0.3">
      <c r="A16" s="53"/>
      <c r="B16" s="53"/>
      <c r="C16" s="53"/>
      <c r="D16" s="53"/>
      <c r="E16" s="53"/>
      <c r="F16" s="53"/>
      <c r="G16" s="53"/>
      <c r="H16" s="53"/>
      <c r="I16" s="60">
        <f t="shared" si="0"/>
        <v>0</v>
      </c>
      <c r="J16" s="53"/>
    </row>
    <row r="17" spans="1:10" ht="15" customHeight="1" x14ac:dyDescent="0.3">
      <c r="A17" s="17"/>
      <c r="B17" s="17"/>
      <c r="C17" s="17"/>
      <c r="D17" s="17"/>
      <c r="E17" s="17"/>
      <c r="F17" s="17"/>
      <c r="G17" s="17"/>
      <c r="H17" s="17"/>
      <c r="I17" s="28">
        <f t="shared" si="0"/>
        <v>0</v>
      </c>
      <c r="J17" s="17"/>
    </row>
    <row r="18" spans="1:10" ht="15" customHeight="1" x14ac:dyDescent="0.3">
      <c r="A18" s="53"/>
      <c r="B18" s="53"/>
      <c r="C18" s="53"/>
      <c r="D18" s="53"/>
      <c r="E18" s="53"/>
      <c r="F18" s="53"/>
      <c r="G18" s="53"/>
      <c r="H18" s="53"/>
      <c r="I18" s="60">
        <f t="shared" si="0"/>
        <v>0</v>
      </c>
      <c r="J18" s="53"/>
    </row>
    <row r="19" spans="1:10" ht="15" customHeight="1" x14ac:dyDescent="0.3">
      <c r="A19" s="17"/>
      <c r="B19" s="17"/>
      <c r="C19" s="17"/>
      <c r="D19" s="17"/>
      <c r="E19" s="17"/>
      <c r="F19" s="17"/>
      <c r="G19" s="17"/>
      <c r="H19" s="17"/>
      <c r="I19" s="28">
        <f t="shared" si="0"/>
        <v>0</v>
      </c>
      <c r="J19" s="17"/>
    </row>
    <row r="20" spans="1:10" ht="15" customHeight="1" x14ac:dyDescent="0.3">
      <c r="A20" s="53"/>
      <c r="B20" s="53"/>
      <c r="C20" s="53"/>
      <c r="D20" s="53"/>
      <c r="E20" s="53"/>
      <c r="F20" s="53"/>
      <c r="G20" s="53"/>
      <c r="H20" s="53"/>
      <c r="I20" s="60">
        <f t="shared" si="0"/>
        <v>0</v>
      </c>
      <c r="J20" s="53"/>
    </row>
    <row r="21" spans="1:10" ht="15" customHeight="1" x14ac:dyDescent="0.3">
      <c r="A21" s="17"/>
      <c r="B21" s="17"/>
      <c r="C21" s="17"/>
      <c r="D21" s="17"/>
      <c r="E21" s="17"/>
      <c r="F21" s="17"/>
      <c r="G21" s="17"/>
      <c r="H21" s="17"/>
      <c r="I21" s="28">
        <f t="shared" si="0"/>
        <v>0</v>
      </c>
      <c r="J21" s="17"/>
    </row>
    <row r="22" spans="1:10" ht="15" customHeight="1" x14ac:dyDescent="0.3">
      <c r="A22" s="53"/>
      <c r="B22" s="53"/>
      <c r="C22" s="53"/>
      <c r="D22" s="53"/>
      <c r="E22" s="53"/>
      <c r="F22" s="53"/>
      <c r="G22" s="53"/>
      <c r="H22" s="53"/>
      <c r="I22" s="60">
        <f t="shared" si="0"/>
        <v>0</v>
      </c>
      <c r="J22" s="53"/>
    </row>
    <row r="23" spans="1:10" ht="15" customHeight="1" x14ac:dyDescent="0.3">
      <c r="A23" s="17"/>
      <c r="B23" s="17"/>
      <c r="C23" s="17"/>
      <c r="D23" s="17"/>
      <c r="E23" s="17"/>
      <c r="F23" s="17"/>
      <c r="G23" s="17"/>
      <c r="H23" s="17"/>
      <c r="I23" s="28">
        <f t="shared" si="0"/>
        <v>0</v>
      </c>
      <c r="J23" s="17"/>
    </row>
    <row r="24" spans="1:10" ht="15" customHeight="1" x14ac:dyDescent="0.3">
      <c r="A24" s="53"/>
      <c r="B24" s="53"/>
      <c r="C24" s="53"/>
      <c r="D24" s="53"/>
      <c r="E24" s="53"/>
      <c r="F24" s="53"/>
      <c r="G24" s="53"/>
      <c r="H24" s="53"/>
      <c r="I24" s="60">
        <f t="shared" si="0"/>
        <v>0</v>
      </c>
      <c r="J24" s="53"/>
    </row>
    <row r="25" spans="1:10" ht="15" customHeight="1" x14ac:dyDescent="0.3">
      <c r="A25" s="17"/>
      <c r="B25" s="17"/>
      <c r="C25" s="17"/>
      <c r="D25" s="17"/>
      <c r="E25" s="17"/>
      <c r="F25" s="17"/>
      <c r="G25" s="17"/>
      <c r="H25" s="17"/>
      <c r="I25" s="28">
        <f t="shared" si="0"/>
        <v>0</v>
      </c>
      <c r="J25" s="17"/>
    </row>
    <row r="26" spans="1:10" ht="15" customHeight="1" x14ac:dyDescent="0.3">
      <c r="A26" s="53"/>
      <c r="B26" s="53"/>
      <c r="C26" s="53"/>
      <c r="D26" s="53"/>
      <c r="E26" s="53"/>
      <c r="F26" s="53"/>
      <c r="G26" s="53"/>
      <c r="H26" s="53"/>
      <c r="I26" s="60">
        <f t="shared" si="0"/>
        <v>0</v>
      </c>
      <c r="J26" s="53"/>
    </row>
    <row r="27" spans="1:10" ht="15" customHeight="1" x14ac:dyDescent="0.3">
      <c r="A27" s="17"/>
      <c r="B27" s="17"/>
      <c r="C27" s="17"/>
      <c r="D27" s="17"/>
      <c r="E27" s="17"/>
      <c r="F27" s="17"/>
      <c r="G27" s="17"/>
      <c r="H27" s="17"/>
      <c r="I27" s="28">
        <f t="shared" si="0"/>
        <v>0</v>
      </c>
      <c r="J27" s="17"/>
    </row>
    <row r="28" spans="1:10" ht="15" customHeight="1" x14ac:dyDescent="0.3">
      <c r="A28" s="53"/>
      <c r="B28" s="53"/>
      <c r="C28" s="53"/>
      <c r="D28" s="53"/>
      <c r="E28" s="53"/>
      <c r="F28" s="53"/>
      <c r="G28" s="53"/>
      <c r="H28" s="53"/>
      <c r="I28" s="60">
        <f t="shared" si="0"/>
        <v>0</v>
      </c>
      <c r="J28" s="53"/>
    </row>
    <row r="29" spans="1:10" ht="15" customHeight="1" x14ac:dyDescent="0.3">
      <c r="A29" s="17"/>
      <c r="B29" s="17"/>
      <c r="C29" s="17"/>
      <c r="D29" s="17"/>
      <c r="E29" s="17"/>
      <c r="F29" s="17"/>
      <c r="G29" s="17"/>
      <c r="H29" s="17"/>
      <c r="I29" s="28">
        <f t="shared" si="0"/>
        <v>0</v>
      </c>
      <c r="J29" s="17"/>
    </row>
    <row r="30" spans="1:10" ht="15" customHeight="1" x14ac:dyDescent="0.3">
      <c r="A30" s="53"/>
      <c r="B30" s="53"/>
      <c r="C30" s="53"/>
      <c r="D30" s="53"/>
      <c r="E30" s="53"/>
      <c r="F30" s="53"/>
      <c r="G30" s="53"/>
      <c r="H30" s="53"/>
      <c r="I30" s="60">
        <f t="shared" si="0"/>
        <v>0</v>
      </c>
      <c r="J30" s="53"/>
    </row>
    <row r="31" spans="1:10" ht="15" customHeight="1" x14ac:dyDescent="0.3">
      <c r="A31" s="17"/>
      <c r="B31" s="17"/>
      <c r="C31" s="17"/>
      <c r="D31" s="17"/>
      <c r="E31" s="17"/>
      <c r="F31" s="17"/>
      <c r="G31" s="17"/>
      <c r="H31" s="17"/>
      <c r="I31" s="28">
        <f t="shared" si="0"/>
        <v>0</v>
      </c>
      <c r="J31" s="17"/>
    </row>
    <row r="32" spans="1:10" ht="15" customHeight="1" x14ac:dyDescent="0.3">
      <c r="A32" s="53"/>
      <c r="B32" s="53"/>
      <c r="C32" s="53"/>
      <c r="D32" s="53"/>
      <c r="E32" s="53"/>
      <c r="F32" s="53"/>
      <c r="G32" s="53"/>
      <c r="H32" s="53"/>
      <c r="I32" s="60">
        <f t="shared" si="0"/>
        <v>0</v>
      </c>
      <c r="J32" s="53"/>
    </row>
    <row r="33" spans="1:10" ht="15" customHeight="1" x14ac:dyDescent="0.3">
      <c r="A33" s="17"/>
      <c r="B33" s="17"/>
      <c r="C33" s="17"/>
      <c r="D33" s="17"/>
      <c r="E33" s="17"/>
      <c r="F33" s="17"/>
      <c r="G33" s="17"/>
      <c r="H33" s="17"/>
      <c r="I33" s="28">
        <f t="shared" si="0"/>
        <v>0</v>
      </c>
      <c r="J33" s="17"/>
    </row>
    <row r="34" spans="1:10" ht="15" customHeight="1" x14ac:dyDescent="0.3">
      <c r="A34" s="53"/>
      <c r="B34" s="53"/>
      <c r="C34" s="53"/>
      <c r="D34" s="53"/>
      <c r="E34" s="53"/>
      <c r="F34" s="53"/>
      <c r="G34" s="53"/>
      <c r="H34" s="53"/>
      <c r="I34" s="60">
        <f t="shared" si="0"/>
        <v>0</v>
      </c>
      <c r="J34" s="53"/>
    </row>
    <row r="35" spans="1:10" ht="15" customHeight="1" x14ac:dyDescent="0.3">
      <c r="A35" s="17"/>
      <c r="B35" s="17"/>
      <c r="C35" s="17"/>
      <c r="D35" s="17"/>
      <c r="E35" s="17"/>
      <c r="F35" s="17"/>
      <c r="G35" s="17"/>
      <c r="H35" s="17"/>
      <c r="I35" s="28">
        <f t="shared" si="0"/>
        <v>0</v>
      </c>
      <c r="J35" s="17"/>
    </row>
    <row r="36" spans="1:10" ht="15" customHeight="1" x14ac:dyDescent="0.3">
      <c r="A36" s="53"/>
      <c r="B36" s="53"/>
      <c r="C36" s="53"/>
      <c r="D36" s="53"/>
      <c r="E36" s="53"/>
      <c r="F36" s="53"/>
      <c r="G36" s="53"/>
      <c r="H36" s="53"/>
      <c r="I36" s="60">
        <f t="shared" si="0"/>
        <v>0</v>
      </c>
      <c r="J36" s="53"/>
    </row>
    <row r="37" spans="1:10" ht="15" customHeight="1" x14ac:dyDescent="0.3">
      <c r="A37" s="17"/>
      <c r="B37" s="17"/>
      <c r="C37" s="17"/>
      <c r="D37" s="17"/>
      <c r="E37" s="17"/>
      <c r="F37" s="17"/>
      <c r="G37" s="17"/>
      <c r="H37" s="17"/>
      <c r="I37" s="28">
        <f t="shared" si="0"/>
        <v>0</v>
      </c>
      <c r="J37" s="17"/>
    </row>
    <row r="38" spans="1:10" ht="15" customHeight="1" x14ac:dyDescent="0.3">
      <c r="A38" s="53"/>
      <c r="B38" s="53"/>
      <c r="C38" s="53"/>
      <c r="D38" s="53"/>
      <c r="E38" s="53"/>
      <c r="F38" s="53"/>
      <c r="G38" s="53"/>
      <c r="H38" s="53"/>
      <c r="I38" s="60">
        <f t="shared" si="0"/>
        <v>0</v>
      </c>
      <c r="J38" s="53"/>
    </row>
    <row r="39" spans="1:10" ht="15" customHeight="1" x14ac:dyDescent="0.3">
      <c r="A39" s="17"/>
      <c r="B39" s="17"/>
      <c r="C39" s="17"/>
      <c r="D39" s="17"/>
      <c r="E39" s="17"/>
      <c r="F39" s="17"/>
      <c r="G39" s="17"/>
      <c r="H39" s="17"/>
      <c r="I39" s="28">
        <f t="shared" si="0"/>
        <v>0</v>
      </c>
      <c r="J39" s="17"/>
    </row>
    <row r="40" spans="1:10" ht="15" customHeight="1" x14ac:dyDescent="0.3">
      <c r="A40" s="53"/>
      <c r="B40" s="53"/>
      <c r="C40" s="53"/>
      <c r="D40" s="53"/>
      <c r="E40" s="53"/>
      <c r="F40" s="53"/>
      <c r="G40" s="53"/>
      <c r="H40" s="53"/>
      <c r="I40" s="60">
        <f t="shared" si="0"/>
        <v>0</v>
      </c>
      <c r="J40" s="53"/>
    </row>
    <row r="41" spans="1:10" ht="15" customHeight="1" x14ac:dyDescent="0.3">
      <c r="A41" s="17"/>
      <c r="B41" s="17"/>
      <c r="C41" s="17"/>
      <c r="D41" s="17"/>
      <c r="E41" s="17"/>
      <c r="F41" s="17"/>
      <c r="G41" s="17"/>
      <c r="H41" s="17"/>
      <c r="I41" s="28">
        <f t="shared" si="0"/>
        <v>0</v>
      </c>
      <c r="J41" s="17"/>
    </row>
    <row r="42" spans="1:10" ht="15" customHeight="1" x14ac:dyDescent="0.3">
      <c r="A42" s="53"/>
      <c r="B42" s="53"/>
      <c r="C42" s="53"/>
      <c r="D42" s="53"/>
      <c r="E42" s="53"/>
      <c r="F42" s="53"/>
      <c r="G42" s="53"/>
      <c r="H42" s="53"/>
      <c r="I42" s="60">
        <f t="shared" ref="I42:I73" si="1">IFERROR(G42-H42,"")</f>
        <v>0</v>
      </c>
      <c r="J42" s="53"/>
    </row>
    <row r="43" spans="1:10" ht="15" customHeight="1" x14ac:dyDescent="0.3">
      <c r="A43" s="17"/>
      <c r="B43" s="17"/>
      <c r="C43" s="17"/>
      <c r="D43" s="17"/>
      <c r="E43" s="17"/>
      <c r="F43" s="17"/>
      <c r="G43" s="17"/>
      <c r="H43" s="17"/>
      <c r="I43" s="28">
        <f t="shared" si="1"/>
        <v>0</v>
      </c>
      <c r="J43" s="17"/>
    </row>
    <row r="44" spans="1:10" ht="15" customHeight="1" x14ac:dyDescent="0.3">
      <c r="A44" s="53"/>
      <c r="B44" s="53"/>
      <c r="C44" s="53"/>
      <c r="D44" s="53"/>
      <c r="E44" s="53"/>
      <c r="F44" s="53"/>
      <c r="G44" s="53"/>
      <c r="H44" s="53"/>
      <c r="I44" s="60">
        <f t="shared" si="1"/>
        <v>0</v>
      </c>
      <c r="J44" s="53"/>
    </row>
    <row r="45" spans="1:10" ht="15" customHeight="1" x14ac:dyDescent="0.3">
      <c r="A45" s="17"/>
      <c r="B45" s="17"/>
      <c r="C45" s="17"/>
      <c r="D45" s="17"/>
      <c r="E45" s="17"/>
      <c r="F45" s="17"/>
      <c r="G45" s="17"/>
      <c r="H45" s="17"/>
      <c r="I45" s="28">
        <f t="shared" si="1"/>
        <v>0</v>
      </c>
      <c r="J45" s="17"/>
    </row>
    <row r="46" spans="1:10" ht="15" customHeight="1" x14ac:dyDescent="0.3">
      <c r="A46" s="53"/>
      <c r="B46" s="53"/>
      <c r="C46" s="53"/>
      <c r="D46" s="53"/>
      <c r="E46" s="53"/>
      <c r="F46" s="53"/>
      <c r="G46" s="53"/>
      <c r="H46" s="53"/>
      <c r="I46" s="60">
        <f t="shared" si="1"/>
        <v>0</v>
      </c>
      <c r="J46" s="53"/>
    </row>
    <row r="47" spans="1:10" ht="15" customHeight="1" x14ac:dyDescent="0.3">
      <c r="A47" s="17"/>
      <c r="B47" s="17"/>
      <c r="C47" s="17"/>
      <c r="D47" s="17"/>
      <c r="E47" s="17"/>
      <c r="F47" s="17"/>
      <c r="G47" s="17"/>
      <c r="H47" s="17"/>
      <c r="I47" s="28">
        <f t="shared" si="1"/>
        <v>0</v>
      </c>
      <c r="J47" s="17"/>
    </row>
    <row r="48" spans="1:10" ht="15" customHeight="1" x14ac:dyDescent="0.3">
      <c r="A48" s="53"/>
      <c r="B48" s="53"/>
      <c r="C48" s="53"/>
      <c r="D48" s="53"/>
      <c r="E48" s="53"/>
      <c r="F48" s="53"/>
      <c r="G48" s="53"/>
      <c r="H48" s="53"/>
      <c r="I48" s="60">
        <f t="shared" si="1"/>
        <v>0</v>
      </c>
      <c r="J48" s="53"/>
    </row>
    <row r="49" spans="1:10" ht="15" customHeight="1" x14ac:dyDescent="0.3">
      <c r="A49" s="17"/>
      <c r="B49" s="17"/>
      <c r="C49" s="17"/>
      <c r="D49" s="17"/>
      <c r="E49" s="17"/>
      <c r="F49" s="17"/>
      <c r="G49" s="17"/>
      <c r="H49" s="17"/>
      <c r="I49" s="28">
        <f t="shared" si="1"/>
        <v>0</v>
      </c>
      <c r="J49" s="17"/>
    </row>
    <row r="50" spans="1:10" ht="15" customHeight="1" x14ac:dyDescent="0.3">
      <c r="A50" s="53"/>
      <c r="B50" s="53"/>
      <c r="C50" s="53"/>
      <c r="D50" s="53"/>
      <c r="E50" s="53"/>
      <c r="F50" s="53"/>
      <c r="G50" s="53"/>
      <c r="H50" s="53"/>
      <c r="I50" s="60">
        <f t="shared" si="1"/>
        <v>0</v>
      </c>
      <c r="J50" s="53"/>
    </row>
    <row r="51" spans="1:10" ht="15" customHeight="1" x14ac:dyDescent="0.3">
      <c r="A51" s="17"/>
      <c r="B51" s="17"/>
      <c r="C51" s="17"/>
      <c r="D51" s="17"/>
      <c r="E51" s="17"/>
      <c r="F51" s="17"/>
      <c r="G51" s="17"/>
      <c r="H51" s="17"/>
      <c r="I51" s="28">
        <f t="shared" si="1"/>
        <v>0</v>
      </c>
      <c r="J51" s="17"/>
    </row>
    <row r="52" spans="1:10" ht="15" customHeight="1" x14ac:dyDescent="0.3">
      <c r="A52" s="53"/>
      <c r="B52" s="53"/>
      <c r="C52" s="53"/>
      <c r="D52" s="53"/>
      <c r="E52" s="53"/>
      <c r="F52" s="53"/>
      <c r="G52" s="53"/>
      <c r="H52" s="53"/>
      <c r="I52" s="60">
        <f t="shared" si="1"/>
        <v>0</v>
      </c>
      <c r="J52" s="53"/>
    </row>
    <row r="53" spans="1:10" ht="15" customHeight="1" x14ac:dyDescent="0.3">
      <c r="A53" s="17"/>
      <c r="B53" s="17"/>
      <c r="C53" s="17"/>
      <c r="D53" s="17"/>
      <c r="E53" s="17"/>
      <c r="F53" s="17"/>
      <c r="G53" s="17"/>
      <c r="H53" s="17"/>
      <c r="I53" s="28">
        <f t="shared" si="1"/>
        <v>0</v>
      </c>
      <c r="J53" s="17"/>
    </row>
    <row r="54" spans="1:10" ht="15" customHeight="1" x14ac:dyDescent="0.3">
      <c r="A54" s="53"/>
      <c r="B54" s="53"/>
      <c r="C54" s="53"/>
      <c r="D54" s="53"/>
      <c r="E54" s="53"/>
      <c r="F54" s="53"/>
      <c r="G54" s="53"/>
      <c r="H54" s="53"/>
      <c r="I54" s="60">
        <f t="shared" si="1"/>
        <v>0</v>
      </c>
      <c r="J54" s="53"/>
    </row>
    <row r="55" spans="1:10" ht="15" customHeight="1" x14ac:dyDescent="0.3">
      <c r="A55" s="17"/>
      <c r="B55" s="17"/>
      <c r="C55" s="17"/>
      <c r="D55" s="17"/>
      <c r="E55" s="17"/>
      <c r="F55" s="17"/>
      <c r="G55" s="17"/>
      <c r="H55" s="17"/>
      <c r="I55" s="28">
        <f t="shared" si="1"/>
        <v>0</v>
      </c>
      <c r="J55" s="17"/>
    </row>
    <row r="56" spans="1:10" ht="15" customHeight="1" x14ac:dyDescent="0.3">
      <c r="A56" s="53"/>
      <c r="B56" s="53"/>
      <c r="C56" s="53"/>
      <c r="D56" s="53"/>
      <c r="E56" s="53"/>
      <c r="F56" s="53"/>
      <c r="G56" s="53"/>
      <c r="H56" s="53"/>
      <c r="I56" s="60">
        <f t="shared" si="1"/>
        <v>0</v>
      </c>
      <c r="J56" s="53"/>
    </row>
    <row r="57" spans="1:10" ht="15" customHeight="1" x14ac:dyDescent="0.3">
      <c r="A57" s="17"/>
      <c r="B57" s="17"/>
      <c r="C57" s="17"/>
      <c r="D57" s="17"/>
      <c r="E57" s="17"/>
      <c r="F57" s="17"/>
      <c r="G57" s="17"/>
      <c r="H57" s="17"/>
      <c r="I57" s="28">
        <f t="shared" si="1"/>
        <v>0</v>
      </c>
      <c r="J57" s="17"/>
    </row>
    <row r="58" spans="1:10" ht="15" customHeight="1" x14ac:dyDescent="0.3">
      <c r="A58" s="53"/>
      <c r="B58" s="53"/>
      <c r="C58" s="53"/>
      <c r="D58" s="53"/>
      <c r="E58" s="53"/>
      <c r="F58" s="53"/>
      <c r="G58" s="53"/>
      <c r="H58" s="53"/>
      <c r="I58" s="60">
        <f t="shared" si="1"/>
        <v>0</v>
      </c>
      <c r="J58" s="53"/>
    </row>
    <row r="59" spans="1:10" ht="15" customHeight="1" x14ac:dyDescent="0.3">
      <c r="A59" s="17"/>
      <c r="B59" s="17"/>
      <c r="C59" s="17"/>
      <c r="D59" s="17"/>
      <c r="E59" s="17"/>
      <c r="F59" s="17"/>
      <c r="G59" s="17"/>
      <c r="H59" s="17"/>
      <c r="I59" s="28">
        <f t="shared" si="1"/>
        <v>0</v>
      </c>
      <c r="J59" s="17"/>
    </row>
    <row r="60" spans="1:10" ht="15" customHeight="1" x14ac:dyDescent="0.3">
      <c r="A60" s="53"/>
      <c r="B60" s="53"/>
      <c r="C60" s="53"/>
      <c r="D60" s="53"/>
      <c r="E60" s="53"/>
      <c r="F60" s="53"/>
      <c r="G60" s="53"/>
      <c r="H60" s="53"/>
      <c r="I60" s="60">
        <f t="shared" si="1"/>
        <v>0</v>
      </c>
      <c r="J60" s="53"/>
    </row>
    <row r="61" spans="1:10" ht="15" customHeight="1" x14ac:dyDescent="0.3">
      <c r="A61" s="17"/>
      <c r="B61" s="17"/>
      <c r="C61" s="17"/>
      <c r="D61" s="17"/>
      <c r="E61" s="17"/>
      <c r="F61" s="17"/>
      <c r="G61" s="17"/>
      <c r="H61" s="17"/>
      <c r="I61" s="28">
        <f t="shared" si="1"/>
        <v>0</v>
      </c>
      <c r="J61" s="17"/>
    </row>
    <row r="62" spans="1:10" ht="15" customHeight="1" x14ac:dyDescent="0.3">
      <c r="A62" s="53"/>
      <c r="B62" s="53"/>
      <c r="C62" s="53"/>
      <c r="D62" s="53"/>
      <c r="E62" s="53"/>
      <c r="F62" s="53"/>
      <c r="G62" s="53"/>
      <c r="H62" s="53"/>
      <c r="I62" s="60">
        <f t="shared" si="1"/>
        <v>0</v>
      </c>
      <c r="J62" s="53"/>
    </row>
    <row r="63" spans="1:10" ht="15" customHeight="1" x14ac:dyDescent="0.3">
      <c r="A63" s="17"/>
      <c r="B63" s="17"/>
      <c r="C63" s="17"/>
      <c r="D63" s="17"/>
      <c r="E63" s="17"/>
      <c r="F63" s="17"/>
      <c r="G63" s="17"/>
      <c r="H63" s="17"/>
      <c r="I63" s="28">
        <f t="shared" si="1"/>
        <v>0</v>
      </c>
      <c r="J63" s="17"/>
    </row>
    <row r="64" spans="1:10" ht="15" customHeight="1" x14ac:dyDescent="0.3">
      <c r="A64" s="53"/>
      <c r="B64" s="53"/>
      <c r="C64" s="53"/>
      <c r="D64" s="53"/>
      <c r="E64" s="53"/>
      <c r="F64" s="53"/>
      <c r="G64" s="53"/>
      <c r="H64" s="53"/>
      <c r="I64" s="60">
        <f t="shared" si="1"/>
        <v>0</v>
      </c>
      <c r="J64" s="53"/>
    </row>
    <row r="65" spans="1:10" ht="15" customHeight="1" x14ac:dyDescent="0.3">
      <c r="A65" s="17"/>
      <c r="B65" s="17"/>
      <c r="C65" s="17"/>
      <c r="D65" s="17"/>
      <c r="E65" s="17"/>
      <c r="F65" s="17"/>
      <c r="G65" s="17"/>
      <c r="H65" s="17"/>
      <c r="I65" s="28">
        <f t="shared" si="1"/>
        <v>0</v>
      </c>
      <c r="J65" s="17"/>
    </row>
    <row r="66" spans="1:10" ht="15" customHeight="1" x14ac:dyDescent="0.3">
      <c r="A66" s="53"/>
      <c r="B66" s="53"/>
      <c r="C66" s="53"/>
      <c r="D66" s="53"/>
      <c r="E66" s="53"/>
      <c r="F66" s="53"/>
      <c r="G66" s="53"/>
      <c r="H66" s="53"/>
      <c r="I66" s="60">
        <f t="shared" si="1"/>
        <v>0</v>
      </c>
      <c r="J66" s="53"/>
    </row>
    <row r="67" spans="1:10" ht="15" customHeight="1" x14ac:dyDescent="0.3">
      <c r="A67" s="17"/>
      <c r="B67" s="17"/>
      <c r="C67" s="17"/>
      <c r="D67" s="17"/>
      <c r="E67" s="17"/>
      <c r="F67" s="17"/>
      <c r="G67" s="17"/>
      <c r="H67" s="17"/>
      <c r="I67" s="28">
        <f t="shared" si="1"/>
        <v>0</v>
      </c>
      <c r="J67" s="17"/>
    </row>
    <row r="68" spans="1:10" ht="15" customHeight="1" x14ac:dyDescent="0.3">
      <c r="A68" s="53"/>
      <c r="B68" s="53"/>
      <c r="C68" s="53"/>
      <c r="D68" s="53"/>
      <c r="E68" s="53"/>
      <c r="F68" s="53"/>
      <c r="G68" s="53"/>
      <c r="H68" s="53"/>
      <c r="I68" s="60">
        <f t="shared" si="1"/>
        <v>0</v>
      </c>
      <c r="J68" s="53"/>
    </row>
    <row r="69" spans="1:10" ht="15" customHeight="1" x14ac:dyDescent="0.3">
      <c r="A69" s="17"/>
      <c r="B69" s="17"/>
      <c r="C69" s="17"/>
      <c r="D69" s="17"/>
      <c r="E69" s="17"/>
      <c r="F69" s="17"/>
      <c r="G69" s="17"/>
      <c r="H69" s="17"/>
      <c r="I69" s="28">
        <f t="shared" si="1"/>
        <v>0</v>
      </c>
      <c r="J69" s="17"/>
    </row>
    <row r="70" spans="1:10" ht="15" customHeight="1" x14ac:dyDescent="0.3">
      <c r="A70" s="53"/>
      <c r="B70" s="53"/>
      <c r="C70" s="53"/>
      <c r="D70" s="53"/>
      <c r="E70" s="53"/>
      <c r="F70" s="53"/>
      <c r="G70" s="53"/>
      <c r="H70" s="53"/>
      <c r="I70" s="60">
        <f t="shared" si="1"/>
        <v>0</v>
      </c>
      <c r="J70" s="53"/>
    </row>
    <row r="71" spans="1:10" ht="15" customHeight="1" x14ac:dyDescent="0.3">
      <c r="A71" s="17"/>
      <c r="B71" s="17"/>
      <c r="C71" s="17"/>
      <c r="D71" s="17"/>
      <c r="E71" s="17"/>
      <c r="F71" s="17"/>
      <c r="G71" s="17"/>
      <c r="H71" s="17"/>
      <c r="I71" s="28">
        <f t="shared" si="1"/>
        <v>0</v>
      </c>
      <c r="J71" s="17"/>
    </row>
    <row r="72" spans="1:10" ht="15" customHeight="1" x14ac:dyDescent="0.3">
      <c r="A72" s="53"/>
      <c r="B72" s="53"/>
      <c r="C72" s="53"/>
      <c r="D72" s="53"/>
      <c r="E72" s="53"/>
      <c r="F72" s="53"/>
      <c r="G72" s="53"/>
      <c r="H72" s="53"/>
      <c r="I72" s="60">
        <f t="shared" si="1"/>
        <v>0</v>
      </c>
      <c r="J72" s="53"/>
    </row>
    <row r="73" spans="1:10" ht="15" customHeight="1" x14ac:dyDescent="0.3">
      <c r="A73" s="17"/>
      <c r="B73" s="17"/>
      <c r="C73" s="17"/>
      <c r="D73" s="17"/>
      <c r="E73" s="17"/>
      <c r="F73" s="17"/>
      <c r="G73" s="17"/>
      <c r="H73" s="17"/>
      <c r="I73" s="28">
        <f t="shared" si="1"/>
        <v>0</v>
      </c>
      <c r="J73" s="17"/>
    </row>
    <row r="74" spans="1:10" ht="15" customHeight="1" x14ac:dyDescent="0.3">
      <c r="A74" s="53"/>
      <c r="B74" s="53"/>
      <c r="C74" s="53"/>
      <c r="D74" s="53"/>
      <c r="E74" s="53"/>
      <c r="F74" s="53"/>
      <c r="G74" s="53"/>
      <c r="H74" s="53"/>
      <c r="I74" s="60">
        <f t="shared" ref="I74:I105" si="2">IFERROR(G74-H74,"")</f>
        <v>0</v>
      </c>
      <c r="J74" s="53"/>
    </row>
    <row r="75" spans="1:10" ht="15" customHeight="1" x14ac:dyDescent="0.3">
      <c r="A75" s="17"/>
      <c r="B75" s="17"/>
      <c r="C75" s="17"/>
      <c r="D75" s="17"/>
      <c r="E75" s="17"/>
      <c r="F75" s="17"/>
      <c r="G75" s="17"/>
      <c r="H75" s="17"/>
      <c r="I75" s="28">
        <f t="shared" si="2"/>
        <v>0</v>
      </c>
      <c r="J75" s="17"/>
    </row>
    <row r="76" spans="1:10" ht="15" customHeight="1" x14ac:dyDescent="0.3">
      <c r="A76" s="53"/>
      <c r="B76" s="53"/>
      <c r="C76" s="53"/>
      <c r="D76" s="53"/>
      <c r="E76" s="53"/>
      <c r="F76" s="53"/>
      <c r="G76" s="53"/>
      <c r="H76" s="53"/>
      <c r="I76" s="60">
        <f t="shared" si="2"/>
        <v>0</v>
      </c>
      <c r="J76" s="53"/>
    </row>
    <row r="77" spans="1:10" ht="15" customHeight="1" x14ac:dyDescent="0.3">
      <c r="A77" s="17"/>
      <c r="B77" s="17"/>
      <c r="C77" s="17"/>
      <c r="D77" s="17"/>
      <c r="E77" s="17"/>
      <c r="F77" s="17"/>
      <c r="G77" s="17"/>
      <c r="H77" s="17"/>
      <c r="I77" s="28">
        <f t="shared" si="2"/>
        <v>0</v>
      </c>
      <c r="J77" s="17"/>
    </row>
    <row r="78" spans="1:10" ht="15" customHeight="1" x14ac:dyDescent="0.3">
      <c r="A78" s="53"/>
      <c r="B78" s="53"/>
      <c r="C78" s="53"/>
      <c r="D78" s="53"/>
      <c r="E78" s="53"/>
      <c r="F78" s="53"/>
      <c r="G78" s="53"/>
      <c r="H78" s="53"/>
      <c r="I78" s="60">
        <f t="shared" si="2"/>
        <v>0</v>
      </c>
      <c r="J78" s="53"/>
    </row>
    <row r="79" spans="1:10" ht="15" customHeight="1" x14ac:dyDescent="0.3">
      <c r="A79" s="17"/>
      <c r="B79" s="17"/>
      <c r="C79" s="17"/>
      <c r="D79" s="17"/>
      <c r="E79" s="17"/>
      <c r="F79" s="17"/>
      <c r="G79" s="17"/>
      <c r="H79" s="17"/>
      <c r="I79" s="28">
        <f t="shared" si="2"/>
        <v>0</v>
      </c>
      <c r="J79" s="17"/>
    </row>
    <row r="80" spans="1:10" ht="15" customHeight="1" x14ac:dyDescent="0.3">
      <c r="A80" s="53"/>
      <c r="B80" s="53"/>
      <c r="C80" s="53"/>
      <c r="D80" s="53"/>
      <c r="E80" s="53"/>
      <c r="F80" s="53"/>
      <c r="G80" s="53"/>
      <c r="H80" s="53"/>
      <c r="I80" s="60">
        <f t="shared" si="2"/>
        <v>0</v>
      </c>
      <c r="J80" s="53"/>
    </row>
    <row r="81" spans="1:10" ht="15" customHeight="1" x14ac:dyDescent="0.3">
      <c r="A81" s="17"/>
      <c r="B81" s="17"/>
      <c r="C81" s="17"/>
      <c r="D81" s="17"/>
      <c r="E81" s="17"/>
      <c r="F81" s="17"/>
      <c r="G81" s="17"/>
      <c r="H81" s="17"/>
      <c r="I81" s="28">
        <f t="shared" si="2"/>
        <v>0</v>
      </c>
      <c r="J81" s="17"/>
    </row>
    <row r="82" spans="1:10" ht="15" customHeight="1" x14ac:dyDescent="0.3">
      <c r="A82" s="53"/>
      <c r="B82" s="53"/>
      <c r="C82" s="53"/>
      <c r="D82" s="53"/>
      <c r="E82" s="53"/>
      <c r="F82" s="53"/>
      <c r="G82" s="53"/>
      <c r="H82" s="53"/>
      <c r="I82" s="60">
        <f t="shared" si="2"/>
        <v>0</v>
      </c>
      <c r="J82" s="53"/>
    </row>
    <row r="83" spans="1:10" ht="15" customHeight="1" x14ac:dyDescent="0.3">
      <c r="A83" s="17"/>
      <c r="B83" s="17"/>
      <c r="C83" s="17"/>
      <c r="D83" s="17"/>
      <c r="E83" s="17"/>
      <c r="F83" s="17"/>
      <c r="G83" s="17"/>
      <c r="H83" s="17"/>
      <c r="I83" s="28">
        <f t="shared" si="2"/>
        <v>0</v>
      </c>
      <c r="J83" s="17"/>
    </row>
    <row r="84" spans="1:10" ht="15" customHeight="1" x14ac:dyDescent="0.3">
      <c r="A84" s="53"/>
      <c r="B84" s="53"/>
      <c r="C84" s="53"/>
      <c r="D84" s="53"/>
      <c r="E84" s="53"/>
      <c r="F84" s="53"/>
      <c r="G84" s="53"/>
      <c r="H84" s="53"/>
      <c r="I84" s="60">
        <f t="shared" si="2"/>
        <v>0</v>
      </c>
      <c r="J84" s="53"/>
    </row>
    <row r="85" spans="1:10" ht="15" customHeight="1" x14ac:dyDescent="0.3">
      <c r="A85" s="17"/>
      <c r="B85" s="17"/>
      <c r="C85" s="17"/>
      <c r="D85" s="17"/>
      <c r="E85" s="17"/>
      <c r="F85" s="17"/>
      <c r="G85" s="17"/>
      <c r="H85" s="17"/>
      <c r="I85" s="28">
        <f t="shared" si="2"/>
        <v>0</v>
      </c>
      <c r="J85" s="17"/>
    </row>
    <row r="86" spans="1:10" ht="15" customHeight="1" x14ac:dyDescent="0.3">
      <c r="A86" s="53"/>
      <c r="B86" s="53"/>
      <c r="C86" s="53"/>
      <c r="D86" s="53"/>
      <c r="E86" s="53"/>
      <c r="F86" s="53"/>
      <c r="G86" s="53"/>
      <c r="H86" s="53"/>
      <c r="I86" s="60">
        <f t="shared" si="2"/>
        <v>0</v>
      </c>
      <c r="J86" s="53"/>
    </row>
    <row r="87" spans="1:10" ht="15" customHeight="1" x14ac:dyDescent="0.3">
      <c r="A87" s="17"/>
      <c r="B87" s="17"/>
      <c r="C87" s="17"/>
      <c r="D87" s="17"/>
      <c r="E87" s="17"/>
      <c r="F87" s="17"/>
      <c r="G87" s="17"/>
      <c r="H87" s="17"/>
      <c r="I87" s="28">
        <f t="shared" si="2"/>
        <v>0</v>
      </c>
      <c r="J87" s="17"/>
    </row>
    <row r="88" spans="1:10" ht="15" customHeight="1" x14ac:dyDescent="0.3">
      <c r="A88" s="53"/>
      <c r="B88" s="53"/>
      <c r="C88" s="53"/>
      <c r="D88" s="53"/>
      <c r="E88" s="53"/>
      <c r="F88" s="53"/>
      <c r="G88" s="53"/>
      <c r="H88" s="53"/>
      <c r="I88" s="60">
        <f t="shared" si="2"/>
        <v>0</v>
      </c>
      <c r="J88" s="53"/>
    </row>
    <row r="89" spans="1:10" ht="15" customHeight="1" x14ac:dyDescent="0.3">
      <c r="A89" s="17"/>
      <c r="B89" s="17"/>
      <c r="C89" s="17"/>
      <c r="D89" s="17"/>
      <c r="E89" s="17"/>
      <c r="F89" s="17"/>
      <c r="G89" s="17"/>
      <c r="H89" s="17"/>
      <c r="I89" s="28">
        <f t="shared" si="2"/>
        <v>0</v>
      </c>
      <c r="J89" s="17"/>
    </row>
    <row r="90" spans="1:10" ht="15" customHeight="1" x14ac:dyDescent="0.3">
      <c r="A90" s="53"/>
      <c r="B90" s="53"/>
      <c r="C90" s="53"/>
      <c r="D90" s="53"/>
      <c r="E90" s="53"/>
      <c r="F90" s="53"/>
      <c r="G90" s="53"/>
      <c r="H90" s="53"/>
      <c r="I90" s="60">
        <f t="shared" si="2"/>
        <v>0</v>
      </c>
      <c r="J90" s="53"/>
    </row>
    <row r="91" spans="1:10" ht="15" customHeight="1" x14ac:dyDescent="0.3">
      <c r="A91" s="17"/>
      <c r="B91" s="17"/>
      <c r="C91" s="17"/>
      <c r="D91" s="17"/>
      <c r="E91" s="17"/>
      <c r="F91" s="17"/>
      <c r="G91" s="17"/>
      <c r="H91" s="17"/>
      <c r="I91" s="28">
        <f t="shared" si="2"/>
        <v>0</v>
      </c>
      <c r="J91" s="17"/>
    </row>
    <row r="92" spans="1:10" ht="15" customHeight="1" x14ac:dyDescent="0.3">
      <c r="A92" s="53"/>
      <c r="B92" s="53"/>
      <c r="C92" s="53"/>
      <c r="D92" s="53"/>
      <c r="E92" s="53"/>
      <c r="F92" s="53"/>
      <c r="G92" s="53"/>
      <c r="H92" s="53"/>
      <c r="I92" s="60">
        <f t="shared" si="2"/>
        <v>0</v>
      </c>
      <c r="J92" s="53"/>
    </row>
    <row r="93" spans="1:10" ht="15" customHeight="1" x14ac:dyDescent="0.3">
      <c r="A93" s="17"/>
      <c r="B93" s="17"/>
      <c r="C93" s="17"/>
      <c r="D93" s="17"/>
      <c r="E93" s="17"/>
      <c r="F93" s="17"/>
      <c r="G93" s="17"/>
      <c r="H93" s="17"/>
      <c r="I93" s="28">
        <f t="shared" si="2"/>
        <v>0</v>
      </c>
      <c r="J93" s="17"/>
    </row>
    <row r="94" spans="1:10" ht="15" customHeight="1" x14ac:dyDescent="0.3">
      <c r="A94" s="53"/>
      <c r="B94" s="53"/>
      <c r="C94" s="53"/>
      <c r="D94" s="53"/>
      <c r="E94" s="53"/>
      <c r="F94" s="53"/>
      <c r="G94" s="53"/>
      <c r="H94" s="53"/>
      <c r="I94" s="60">
        <f t="shared" si="2"/>
        <v>0</v>
      </c>
      <c r="J94" s="53"/>
    </row>
    <row r="95" spans="1:10" ht="15" customHeight="1" x14ac:dyDescent="0.3">
      <c r="A95" s="17"/>
      <c r="B95" s="17"/>
      <c r="C95" s="17"/>
      <c r="D95" s="17"/>
      <c r="E95" s="17"/>
      <c r="F95" s="17"/>
      <c r="G95" s="17"/>
      <c r="H95" s="17"/>
      <c r="I95" s="28">
        <f t="shared" si="2"/>
        <v>0</v>
      </c>
      <c r="J95" s="17"/>
    </row>
    <row r="96" spans="1:10" ht="15" customHeight="1" x14ac:dyDescent="0.3">
      <c r="A96" s="53"/>
      <c r="B96" s="53"/>
      <c r="C96" s="53"/>
      <c r="D96" s="53"/>
      <c r="E96" s="53"/>
      <c r="F96" s="53"/>
      <c r="G96" s="53"/>
      <c r="H96" s="53"/>
      <c r="I96" s="60">
        <f t="shared" si="2"/>
        <v>0</v>
      </c>
      <c r="J96" s="53"/>
    </row>
    <row r="97" spans="1:10" ht="15" customHeight="1" x14ac:dyDescent="0.3">
      <c r="A97" s="17"/>
      <c r="B97" s="17"/>
      <c r="C97" s="17"/>
      <c r="D97" s="17"/>
      <c r="E97" s="17"/>
      <c r="F97" s="17"/>
      <c r="G97" s="17"/>
      <c r="H97" s="17"/>
      <c r="I97" s="28">
        <f t="shared" si="2"/>
        <v>0</v>
      </c>
      <c r="J97" s="17"/>
    </row>
    <row r="98" spans="1:10" ht="15" customHeight="1" x14ac:dyDescent="0.3">
      <c r="A98" s="53"/>
      <c r="B98" s="53"/>
      <c r="C98" s="53"/>
      <c r="D98" s="53"/>
      <c r="E98" s="53"/>
      <c r="F98" s="53"/>
      <c r="G98" s="53"/>
      <c r="H98" s="53"/>
      <c r="I98" s="60">
        <f t="shared" si="2"/>
        <v>0</v>
      </c>
      <c r="J98" s="53"/>
    </row>
    <row r="99" spans="1:10" ht="15" customHeight="1" x14ac:dyDescent="0.3">
      <c r="A99" s="17"/>
      <c r="B99" s="17"/>
      <c r="C99" s="17"/>
      <c r="D99" s="17"/>
      <c r="E99" s="17"/>
      <c r="F99" s="17"/>
      <c r="G99" s="17"/>
      <c r="H99" s="17"/>
      <c r="I99" s="28">
        <f t="shared" si="2"/>
        <v>0</v>
      </c>
      <c r="J99" s="17"/>
    </row>
    <row r="100" spans="1:10" ht="15" customHeight="1" x14ac:dyDescent="0.3">
      <c r="A100" s="53"/>
      <c r="B100" s="53"/>
      <c r="C100" s="53"/>
      <c r="D100" s="53"/>
      <c r="E100" s="53"/>
      <c r="F100" s="53"/>
      <c r="G100" s="53"/>
      <c r="H100" s="53"/>
      <c r="I100" s="60">
        <f t="shared" si="2"/>
        <v>0</v>
      </c>
      <c r="J100" s="53"/>
    </row>
    <row r="101" spans="1:10" ht="15" customHeight="1" x14ac:dyDescent="0.3">
      <c r="A101" s="17"/>
      <c r="B101" s="17"/>
      <c r="C101" s="17"/>
      <c r="D101" s="17"/>
      <c r="E101" s="17"/>
      <c r="F101" s="17"/>
      <c r="G101" s="17"/>
      <c r="H101" s="17"/>
      <c r="I101" s="28">
        <f t="shared" si="2"/>
        <v>0</v>
      </c>
      <c r="J101" s="17"/>
    </row>
    <row r="102" spans="1:10" ht="15" customHeight="1" x14ac:dyDescent="0.3">
      <c r="A102" s="53"/>
      <c r="B102" s="53"/>
      <c r="C102" s="53"/>
      <c r="D102" s="53"/>
      <c r="E102" s="53"/>
      <c r="F102" s="53"/>
      <c r="G102" s="53"/>
      <c r="H102" s="53"/>
      <c r="I102" s="60">
        <f t="shared" si="2"/>
        <v>0</v>
      </c>
      <c r="J102" s="53"/>
    </row>
    <row r="103" spans="1:10" ht="15" customHeight="1" x14ac:dyDescent="0.3">
      <c r="A103" s="17"/>
      <c r="B103" s="17"/>
      <c r="C103" s="17"/>
      <c r="D103" s="17"/>
      <c r="E103" s="17"/>
      <c r="F103" s="17"/>
      <c r="G103" s="17"/>
      <c r="H103" s="17"/>
      <c r="I103" s="28">
        <f t="shared" si="2"/>
        <v>0</v>
      </c>
      <c r="J103" s="17"/>
    </row>
    <row r="104" spans="1:10" ht="15" customHeight="1" x14ac:dyDescent="0.3">
      <c r="A104" s="53"/>
      <c r="B104" s="53"/>
      <c r="C104" s="53"/>
      <c r="D104" s="53"/>
      <c r="E104" s="53"/>
      <c r="F104" s="53"/>
      <c r="G104" s="53"/>
      <c r="H104" s="53"/>
      <c r="I104" s="60">
        <f t="shared" si="2"/>
        <v>0</v>
      </c>
      <c r="J104" s="53"/>
    </row>
    <row r="105" spans="1:10" ht="15" customHeight="1" x14ac:dyDescent="0.3">
      <c r="A105" s="17"/>
      <c r="B105" s="17"/>
      <c r="C105" s="17"/>
      <c r="D105" s="17"/>
      <c r="E105" s="17"/>
      <c r="F105" s="17"/>
      <c r="G105" s="17"/>
      <c r="H105" s="17"/>
      <c r="I105" s="28">
        <f t="shared" si="2"/>
        <v>0</v>
      </c>
      <c r="J105" s="17"/>
    </row>
    <row r="106" spans="1:10" ht="15" customHeight="1" x14ac:dyDescent="0.3">
      <c r="A106" s="53"/>
      <c r="B106" s="53"/>
      <c r="C106" s="53"/>
      <c r="D106" s="53"/>
      <c r="E106" s="53"/>
      <c r="F106" s="53"/>
      <c r="G106" s="53"/>
      <c r="H106" s="53"/>
      <c r="I106" s="60">
        <f t="shared" ref="I106:I137" si="3">IFERROR(G106-H106,"")</f>
        <v>0</v>
      </c>
      <c r="J106" s="53"/>
    </row>
    <row r="107" spans="1:10" ht="15" customHeight="1" x14ac:dyDescent="0.3">
      <c r="A107" s="17"/>
      <c r="B107" s="17"/>
      <c r="C107" s="17"/>
      <c r="D107" s="17"/>
      <c r="E107" s="17"/>
      <c r="F107" s="17"/>
      <c r="G107" s="17"/>
      <c r="H107" s="17"/>
      <c r="I107" s="28">
        <f t="shared" si="3"/>
        <v>0</v>
      </c>
      <c r="J107" s="17"/>
    </row>
    <row r="108" spans="1:10" ht="15" customHeight="1" x14ac:dyDescent="0.3">
      <c r="A108" s="53"/>
      <c r="B108" s="53"/>
      <c r="C108" s="53"/>
      <c r="D108" s="53"/>
      <c r="E108" s="53"/>
      <c r="F108" s="53"/>
      <c r="G108" s="53"/>
      <c r="H108" s="53"/>
      <c r="I108" s="60">
        <f t="shared" si="3"/>
        <v>0</v>
      </c>
      <c r="J108" s="53"/>
    </row>
    <row r="109" spans="1:10" ht="15" customHeight="1" x14ac:dyDescent="0.3">
      <c r="A109" s="17"/>
      <c r="B109" s="17"/>
      <c r="C109" s="17"/>
      <c r="D109" s="17"/>
      <c r="E109" s="17"/>
      <c r="F109" s="17"/>
      <c r="G109" s="17"/>
      <c r="H109" s="17"/>
      <c r="I109" s="28">
        <f t="shared" si="3"/>
        <v>0</v>
      </c>
      <c r="J109" s="17"/>
    </row>
    <row r="110" spans="1:10" ht="15" customHeight="1" x14ac:dyDescent="0.3">
      <c r="A110" s="53"/>
      <c r="B110" s="53"/>
      <c r="C110" s="53"/>
      <c r="D110" s="53"/>
      <c r="E110" s="53"/>
      <c r="F110" s="53"/>
      <c r="G110" s="53"/>
      <c r="H110" s="53"/>
      <c r="I110" s="60">
        <f t="shared" si="3"/>
        <v>0</v>
      </c>
      <c r="J110" s="53"/>
    </row>
    <row r="111" spans="1:10" ht="15" customHeight="1" x14ac:dyDescent="0.3">
      <c r="A111" s="17"/>
      <c r="B111" s="17"/>
      <c r="C111" s="17"/>
      <c r="D111" s="17"/>
      <c r="E111" s="17"/>
      <c r="F111" s="17"/>
      <c r="G111" s="17"/>
      <c r="H111" s="17"/>
      <c r="I111" s="28">
        <f t="shared" si="3"/>
        <v>0</v>
      </c>
      <c r="J111" s="17"/>
    </row>
    <row r="112" spans="1:10" ht="15" customHeight="1" x14ac:dyDescent="0.3">
      <c r="A112" s="53"/>
      <c r="B112" s="53"/>
      <c r="C112" s="53"/>
      <c r="D112" s="53"/>
      <c r="E112" s="53"/>
      <c r="F112" s="53"/>
      <c r="G112" s="53"/>
      <c r="H112" s="53"/>
      <c r="I112" s="60">
        <f t="shared" si="3"/>
        <v>0</v>
      </c>
      <c r="J112" s="53"/>
    </row>
    <row r="113" spans="1:10" ht="15" customHeight="1" x14ac:dyDescent="0.3">
      <c r="A113" s="17"/>
      <c r="B113" s="17"/>
      <c r="C113" s="17"/>
      <c r="D113" s="17"/>
      <c r="E113" s="17"/>
      <c r="F113" s="17"/>
      <c r="G113" s="17"/>
      <c r="H113" s="17"/>
      <c r="I113" s="28">
        <f t="shared" si="3"/>
        <v>0</v>
      </c>
      <c r="J113" s="17"/>
    </row>
    <row r="114" spans="1:10" ht="15" customHeight="1" x14ac:dyDescent="0.3">
      <c r="A114" s="53"/>
      <c r="B114" s="53"/>
      <c r="C114" s="53"/>
      <c r="D114" s="53"/>
      <c r="E114" s="53"/>
      <c r="F114" s="53"/>
      <c r="G114" s="53"/>
      <c r="H114" s="53"/>
      <c r="I114" s="60">
        <f t="shared" si="3"/>
        <v>0</v>
      </c>
      <c r="J114" s="53"/>
    </row>
    <row r="115" spans="1:10" ht="15" customHeight="1" x14ac:dyDescent="0.3">
      <c r="A115" s="17"/>
      <c r="B115" s="17"/>
      <c r="C115" s="17"/>
      <c r="D115" s="17"/>
      <c r="E115" s="17"/>
      <c r="F115" s="17"/>
      <c r="G115" s="17"/>
      <c r="H115" s="17"/>
      <c r="I115" s="28">
        <f t="shared" si="3"/>
        <v>0</v>
      </c>
      <c r="J115" s="17"/>
    </row>
    <row r="116" spans="1:10" ht="15" customHeight="1" x14ac:dyDescent="0.3">
      <c r="A116" s="53"/>
      <c r="B116" s="53"/>
      <c r="C116" s="53"/>
      <c r="D116" s="53"/>
      <c r="E116" s="53"/>
      <c r="F116" s="53"/>
      <c r="G116" s="53"/>
      <c r="H116" s="53"/>
      <c r="I116" s="60">
        <f t="shared" si="3"/>
        <v>0</v>
      </c>
      <c r="J116" s="53"/>
    </row>
    <row r="117" spans="1:10" ht="15" customHeight="1" x14ac:dyDescent="0.3">
      <c r="A117" s="17"/>
      <c r="B117" s="17"/>
      <c r="C117" s="17"/>
      <c r="D117" s="17"/>
      <c r="E117" s="17"/>
      <c r="F117" s="17"/>
      <c r="G117" s="17"/>
      <c r="H117" s="17"/>
      <c r="I117" s="28">
        <f t="shared" si="3"/>
        <v>0</v>
      </c>
      <c r="J117" s="17"/>
    </row>
    <row r="118" spans="1:10" ht="15" customHeight="1" x14ac:dyDescent="0.3">
      <c r="A118" s="53"/>
      <c r="B118" s="53"/>
      <c r="C118" s="53"/>
      <c r="D118" s="53"/>
      <c r="E118" s="53"/>
      <c r="F118" s="53"/>
      <c r="G118" s="53"/>
      <c r="H118" s="53"/>
      <c r="I118" s="60">
        <f t="shared" si="3"/>
        <v>0</v>
      </c>
      <c r="J118" s="53"/>
    </row>
    <row r="119" spans="1:10" ht="15" customHeight="1" x14ac:dyDescent="0.3">
      <c r="A119" s="17"/>
      <c r="B119" s="17"/>
      <c r="C119" s="17"/>
      <c r="D119" s="17"/>
      <c r="E119" s="17"/>
      <c r="F119" s="17"/>
      <c r="G119" s="17"/>
      <c r="H119" s="17"/>
      <c r="I119" s="28">
        <f t="shared" si="3"/>
        <v>0</v>
      </c>
      <c r="J119" s="17"/>
    </row>
    <row r="120" spans="1:10" ht="15" customHeight="1" x14ac:dyDescent="0.3">
      <c r="A120" s="53"/>
      <c r="B120" s="53"/>
      <c r="C120" s="53"/>
      <c r="D120" s="53"/>
      <c r="E120" s="53"/>
      <c r="F120" s="53"/>
      <c r="G120" s="53"/>
      <c r="H120" s="53"/>
      <c r="I120" s="60">
        <f t="shared" si="3"/>
        <v>0</v>
      </c>
      <c r="J120" s="53"/>
    </row>
    <row r="121" spans="1:10" ht="15" customHeight="1" x14ac:dyDescent="0.3">
      <c r="A121" s="17"/>
      <c r="B121" s="17"/>
      <c r="C121" s="17"/>
      <c r="D121" s="17"/>
      <c r="E121" s="17"/>
      <c r="F121" s="17"/>
      <c r="G121" s="17"/>
      <c r="H121" s="17"/>
      <c r="I121" s="28">
        <f t="shared" si="3"/>
        <v>0</v>
      </c>
      <c r="J121" s="17"/>
    </row>
    <row r="122" spans="1:10" ht="15" customHeight="1" x14ac:dyDescent="0.3">
      <c r="A122" s="53"/>
      <c r="B122" s="53"/>
      <c r="C122" s="53"/>
      <c r="D122" s="53"/>
      <c r="E122" s="53"/>
      <c r="F122" s="53"/>
      <c r="G122" s="53"/>
      <c r="H122" s="53"/>
      <c r="I122" s="60">
        <f t="shared" si="3"/>
        <v>0</v>
      </c>
      <c r="J122" s="53"/>
    </row>
    <row r="123" spans="1:10" ht="15" customHeight="1" x14ac:dyDescent="0.3">
      <c r="A123" s="17"/>
      <c r="B123" s="17"/>
      <c r="C123" s="17"/>
      <c r="D123" s="17"/>
      <c r="E123" s="17"/>
      <c r="F123" s="17"/>
      <c r="G123" s="17"/>
      <c r="H123" s="17"/>
      <c r="I123" s="28">
        <f t="shared" si="3"/>
        <v>0</v>
      </c>
      <c r="J123" s="17"/>
    </row>
    <row r="124" spans="1:10" ht="15" customHeight="1" x14ac:dyDescent="0.3">
      <c r="A124" s="53"/>
      <c r="B124" s="53"/>
      <c r="C124" s="53"/>
      <c r="D124" s="53"/>
      <c r="E124" s="53"/>
      <c r="F124" s="53"/>
      <c r="G124" s="53"/>
      <c r="H124" s="53"/>
      <c r="I124" s="60">
        <f t="shared" si="3"/>
        <v>0</v>
      </c>
      <c r="J124" s="53"/>
    </row>
    <row r="125" spans="1:10" ht="15" customHeight="1" x14ac:dyDescent="0.3">
      <c r="A125" s="17"/>
      <c r="B125" s="17"/>
      <c r="C125" s="17"/>
      <c r="D125" s="17"/>
      <c r="E125" s="17"/>
      <c r="F125" s="17"/>
      <c r="G125" s="17"/>
      <c r="H125" s="17"/>
      <c r="I125" s="28">
        <f t="shared" si="3"/>
        <v>0</v>
      </c>
      <c r="J125" s="17"/>
    </row>
    <row r="126" spans="1:10" ht="15" customHeight="1" x14ac:dyDescent="0.3">
      <c r="A126" s="53"/>
      <c r="B126" s="53"/>
      <c r="C126" s="53"/>
      <c r="D126" s="53"/>
      <c r="E126" s="53"/>
      <c r="F126" s="53"/>
      <c r="G126" s="53"/>
      <c r="H126" s="53"/>
      <c r="I126" s="60">
        <f t="shared" si="3"/>
        <v>0</v>
      </c>
      <c r="J126" s="53"/>
    </row>
    <row r="127" spans="1:10" ht="15" customHeight="1" x14ac:dyDescent="0.3">
      <c r="A127" s="17"/>
      <c r="B127" s="17"/>
      <c r="C127" s="17"/>
      <c r="D127" s="17"/>
      <c r="E127" s="17"/>
      <c r="F127" s="17"/>
      <c r="G127" s="17"/>
      <c r="H127" s="17"/>
      <c r="I127" s="28">
        <f t="shared" si="3"/>
        <v>0</v>
      </c>
      <c r="J127" s="17"/>
    </row>
    <row r="128" spans="1:10" ht="15" customHeight="1" x14ac:dyDescent="0.3">
      <c r="A128" s="53"/>
      <c r="B128" s="53"/>
      <c r="C128" s="53"/>
      <c r="D128" s="53"/>
      <c r="E128" s="53"/>
      <c r="F128" s="53"/>
      <c r="G128" s="53"/>
      <c r="H128" s="53"/>
      <c r="I128" s="60">
        <f t="shared" si="3"/>
        <v>0</v>
      </c>
      <c r="J128" s="53"/>
    </row>
    <row r="129" spans="1:10" ht="15" customHeight="1" x14ac:dyDescent="0.3">
      <c r="A129" s="17"/>
      <c r="B129" s="17"/>
      <c r="C129" s="17"/>
      <c r="D129" s="17"/>
      <c r="E129" s="17"/>
      <c r="F129" s="17"/>
      <c r="G129" s="17"/>
      <c r="H129" s="17"/>
      <c r="I129" s="28">
        <f t="shared" si="3"/>
        <v>0</v>
      </c>
      <c r="J129" s="17"/>
    </row>
    <row r="130" spans="1:10" ht="15" customHeight="1" x14ac:dyDescent="0.3">
      <c r="A130" s="53"/>
      <c r="B130" s="53"/>
      <c r="C130" s="53"/>
      <c r="D130" s="53"/>
      <c r="E130" s="53"/>
      <c r="F130" s="53"/>
      <c r="G130" s="53"/>
      <c r="H130" s="53"/>
      <c r="I130" s="60">
        <f t="shared" si="3"/>
        <v>0</v>
      </c>
      <c r="J130" s="53"/>
    </row>
    <row r="131" spans="1:10" ht="15" customHeight="1" x14ac:dyDescent="0.3">
      <c r="A131" s="17"/>
      <c r="B131" s="17"/>
      <c r="C131" s="17"/>
      <c r="D131" s="17"/>
      <c r="E131" s="17"/>
      <c r="F131" s="17"/>
      <c r="G131" s="17"/>
      <c r="H131" s="17"/>
      <c r="I131" s="28">
        <f t="shared" si="3"/>
        <v>0</v>
      </c>
      <c r="J131" s="17"/>
    </row>
    <row r="132" spans="1:10" ht="15" customHeight="1" x14ac:dyDescent="0.3">
      <c r="A132" s="53"/>
      <c r="B132" s="53"/>
      <c r="C132" s="53"/>
      <c r="D132" s="53"/>
      <c r="E132" s="53"/>
      <c r="F132" s="53"/>
      <c r="G132" s="53"/>
      <c r="H132" s="53"/>
      <c r="I132" s="60">
        <f t="shared" si="3"/>
        <v>0</v>
      </c>
      <c r="J132" s="53"/>
    </row>
    <row r="133" spans="1:10" ht="15" customHeight="1" x14ac:dyDescent="0.3">
      <c r="A133" s="17"/>
      <c r="B133" s="17"/>
      <c r="C133" s="17"/>
      <c r="D133" s="17"/>
      <c r="E133" s="17"/>
      <c r="F133" s="17"/>
      <c r="G133" s="17"/>
      <c r="H133" s="17"/>
      <c r="I133" s="28">
        <f t="shared" si="3"/>
        <v>0</v>
      </c>
      <c r="J133" s="17"/>
    </row>
    <row r="134" spans="1:10" ht="15" customHeight="1" x14ac:dyDescent="0.3">
      <c r="A134" s="53"/>
      <c r="B134" s="53"/>
      <c r="C134" s="53"/>
      <c r="D134" s="53"/>
      <c r="E134" s="53"/>
      <c r="F134" s="53"/>
      <c r="G134" s="53"/>
      <c r="H134" s="53"/>
      <c r="I134" s="60">
        <f t="shared" si="3"/>
        <v>0</v>
      </c>
      <c r="J134" s="53"/>
    </row>
    <row r="135" spans="1:10" ht="15" customHeight="1" x14ac:dyDescent="0.3">
      <c r="A135" s="17"/>
      <c r="B135" s="17"/>
      <c r="C135" s="17"/>
      <c r="D135" s="17"/>
      <c r="E135" s="17"/>
      <c r="F135" s="17"/>
      <c r="G135" s="17"/>
      <c r="H135" s="17"/>
      <c r="I135" s="28">
        <f t="shared" si="3"/>
        <v>0</v>
      </c>
      <c r="J135" s="17"/>
    </row>
    <row r="136" spans="1:10" ht="15" customHeight="1" x14ac:dyDescent="0.3">
      <c r="A136" s="53"/>
      <c r="B136" s="53"/>
      <c r="C136" s="53"/>
      <c r="D136" s="53"/>
      <c r="E136" s="53"/>
      <c r="F136" s="53"/>
      <c r="G136" s="53"/>
      <c r="H136" s="53"/>
      <c r="I136" s="60">
        <f t="shared" si="3"/>
        <v>0</v>
      </c>
      <c r="J136" s="53"/>
    </row>
    <row r="137" spans="1:10" ht="15" customHeight="1" x14ac:dyDescent="0.3">
      <c r="A137" s="17"/>
      <c r="B137" s="17"/>
      <c r="C137" s="17"/>
      <c r="D137" s="17"/>
      <c r="E137" s="17"/>
      <c r="F137" s="17"/>
      <c r="G137" s="17"/>
      <c r="H137" s="17"/>
      <c r="I137" s="28">
        <f t="shared" si="3"/>
        <v>0</v>
      </c>
      <c r="J137" s="17"/>
    </row>
    <row r="138" spans="1:10" ht="15" customHeight="1" x14ac:dyDescent="0.3">
      <c r="A138" s="53"/>
      <c r="B138" s="53"/>
      <c r="C138" s="53"/>
      <c r="D138" s="53"/>
      <c r="E138" s="53"/>
      <c r="F138" s="53"/>
      <c r="G138" s="53"/>
      <c r="H138" s="53"/>
      <c r="I138" s="60">
        <f t="shared" ref="I138:I169" si="4">IFERROR(G138-H138,"")</f>
        <v>0</v>
      </c>
      <c r="J138" s="53"/>
    </row>
    <row r="139" spans="1:10" ht="15" customHeight="1" x14ac:dyDescent="0.3">
      <c r="A139" s="17"/>
      <c r="B139" s="17"/>
      <c r="C139" s="17"/>
      <c r="D139" s="17"/>
      <c r="E139" s="17"/>
      <c r="F139" s="17"/>
      <c r="G139" s="17"/>
      <c r="H139" s="17"/>
      <c r="I139" s="28">
        <f t="shared" si="4"/>
        <v>0</v>
      </c>
      <c r="J139" s="17"/>
    </row>
    <row r="140" spans="1:10" ht="15" customHeight="1" x14ac:dyDescent="0.3">
      <c r="A140" s="53"/>
      <c r="B140" s="53"/>
      <c r="C140" s="53"/>
      <c r="D140" s="53"/>
      <c r="E140" s="53"/>
      <c r="F140" s="53"/>
      <c r="G140" s="53"/>
      <c r="H140" s="53"/>
      <c r="I140" s="60">
        <f t="shared" si="4"/>
        <v>0</v>
      </c>
      <c r="J140" s="53"/>
    </row>
    <row r="141" spans="1:10" ht="15" customHeight="1" x14ac:dyDescent="0.3">
      <c r="A141" s="17"/>
      <c r="B141" s="17"/>
      <c r="C141" s="17"/>
      <c r="D141" s="17"/>
      <c r="E141" s="17"/>
      <c r="F141" s="17"/>
      <c r="G141" s="17"/>
      <c r="H141" s="17"/>
      <c r="I141" s="28">
        <f t="shared" si="4"/>
        <v>0</v>
      </c>
      <c r="J141" s="17"/>
    </row>
    <row r="142" spans="1:10" ht="15" customHeight="1" x14ac:dyDescent="0.3">
      <c r="A142" s="53"/>
      <c r="B142" s="53"/>
      <c r="C142" s="53"/>
      <c r="D142" s="53"/>
      <c r="E142" s="53"/>
      <c r="F142" s="53"/>
      <c r="G142" s="53"/>
      <c r="H142" s="53"/>
      <c r="I142" s="60">
        <f t="shared" si="4"/>
        <v>0</v>
      </c>
      <c r="J142" s="53"/>
    </row>
    <row r="143" spans="1:10" ht="15" customHeight="1" x14ac:dyDescent="0.3">
      <c r="A143" s="17"/>
      <c r="B143" s="17"/>
      <c r="C143" s="17"/>
      <c r="D143" s="17"/>
      <c r="E143" s="17"/>
      <c r="F143" s="17"/>
      <c r="G143" s="17"/>
      <c r="H143" s="17"/>
      <c r="I143" s="28">
        <f t="shared" si="4"/>
        <v>0</v>
      </c>
      <c r="J143" s="17"/>
    </row>
    <row r="144" spans="1:10" ht="15" customHeight="1" x14ac:dyDescent="0.3">
      <c r="A144" s="53"/>
      <c r="B144" s="53"/>
      <c r="C144" s="53"/>
      <c r="D144" s="53"/>
      <c r="E144" s="53"/>
      <c r="F144" s="53"/>
      <c r="G144" s="53"/>
      <c r="H144" s="53"/>
      <c r="I144" s="60">
        <f t="shared" si="4"/>
        <v>0</v>
      </c>
      <c r="J144" s="53"/>
    </row>
    <row r="145" spans="1:10" ht="15" customHeight="1" x14ac:dyDescent="0.3">
      <c r="A145" s="17"/>
      <c r="B145" s="17"/>
      <c r="C145" s="17"/>
      <c r="D145" s="17"/>
      <c r="E145" s="17"/>
      <c r="F145" s="17"/>
      <c r="G145" s="17"/>
      <c r="H145" s="17"/>
      <c r="I145" s="28">
        <f t="shared" si="4"/>
        <v>0</v>
      </c>
      <c r="J145" s="17"/>
    </row>
    <row r="146" spans="1:10" ht="15" customHeight="1" x14ac:dyDescent="0.3">
      <c r="A146" s="53"/>
      <c r="B146" s="53"/>
      <c r="C146" s="53"/>
      <c r="D146" s="53"/>
      <c r="E146" s="53"/>
      <c r="F146" s="53"/>
      <c r="G146" s="53"/>
      <c r="H146" s="53"/>
      <c r="I146" s="60">
        <f t="shared" si="4"/>
        <v>0</v>
      </c>
      <c r="J146" s="53"/>
    </row>
    <row r="147" spans="1:10" ht="15" customHeight="1" x14ac:dyDescent="0.3">
      <c r="A147" s="17"/>
      <c r="B147" s="17"/>
      <c r="C147" s="17"/>
      <c r="D147" s="17"/>
      <c r="E147" s="17"/>
      <c r="F147" s="17"/>
      <c r="G147" s="17"/>
      <c r="H147" s="17"/>
      <c r="I147" s="28">
        <f t="shared" si="4"/>
        <v>0</v>
      </c>
      <c r="J147" s="17"/>
    </row>
    <row r="148" spans="1:10" ht="15" customHeight="1" x14ac:dyDescent="0.3">
      <c r="A148" s="53"/>
      <c r="B148" s="53"/>
      <c r="C148" s="53"/>
      <c r="D148" s="53"/>
      <c r="E148" s="53"/>
      <c r="F148" s="53"/>
      <c r="G148" s="53"/>
      <c r="H148" s="53"/>
      <c r="I148" s="60">
        <f t="shared" si="4"/>
        <v>0</v>
      </c>
      <c r="J148" s="53"/>
    </row>
    <row r="149" spans="1:10" ht="15" customHeight="1" x14ac:dyDescent="0.3">
      <c r="A149" s="17"/>
      <c r="B149" s="17"/>
      <c r="C149" s="17"/>
      <c r="D149" s="17"/>
      <c r="E149" s="17"/>
      <c r="F149" s="17"/>
      <c r="G149" s="17"/>
      <c r="H149" s="17"/>
      <c r="I149" s="28">
        <f t="shared" si="4"/>
        <v>0</v>
      </c>
      <c r="J149" s="17"/>
    </row>
    <row r="150" spans="1:10" ht="15" customHeight="1" x14ac:dyDescent="0.3">
      <c r="A150" s="53"/>
      <c r="B150" s="53"/>
      <c r="C150" s="53"/>
      <c r="D150" s="53"/>
      <c r="E150" s="53"/>
      <c r="F150" s="53"/>
      <c r="G150" s="53"/>
      <c r="H150" s="53"/>
      <c r="I150" s="60">
        <f t="shared" si="4"/>
        <v>0</v>
      </c>
      <c r="J150" s="53"/>
    </row>
    <row r="151" spans="1:10" ht="15" customHeight="1" x14ac:dyDescent="0.3">
      <c r="A151" s="17"/>
      <c r="B151" s="17"/>
      <c r="C151" s="17"/>
      <c r="D151" s="17"/>
      <c r="E151" s="17"/>
      <c r="F151" s="17"/>
      <c r="G151" s="17"/>
      <c r="H151" s="17"/>
      <c r="I151" s="28">
        <f t="shared" si="4"/>
        <v>0</v>
      </c>
      <c r="J151" s="17"/>
    </row>
    <row r="152" spans="1:10" ht="15" customHeight="1" x14ac:dyDescent="0.3">
      <c r="A152" s="53"/>
      <c r="B152" s="53"/>
      <c r="C152" s="53"/>
      <c r="D152" s="53"/>
      <c r="E152" s="53"/>
      <c r="F152" s="53"/>
      <c r="G152" s="53"/>
      <c r="H152" s="53"/>
      <c r="I152" s="60">
        <f t="shared" si="4"/>
        <v>0</v>
      </c>
      <c r="J152" s="53"/>
    </row>
    <row r="153" spans="1:10" ht="15" customHeight="1" x14ac:dyDescent="0.3">
      <c r="A153" s="17"/>
      <c r="B153" s="17"/>
      <c r="C153" s="17"/>
      <c r="D153" s="17"/>
      <c r="E153" s="17"/>
      <c r="F153" s="17"/>
      <c r="G153" s="17"/>
      <c r="H153" s="17"/>
      <c r="I153" s="28">
        <f t="shared" si="4"/>
        <v>0</v>
      </c>
      <c r="J153" s="17"/>
    </row>
    <row r="154" spans="1:10" ht="15" customHeight="1" x14ac:dyDescent="0.3">
      <c r="A154" s="53"/>
      <c r="B154" s="53"/>
      <c r="C154" s="53"/>
      <c r="D154" s="53"/>
      <c r="E154" s="53"/>
      <c r="F154" s="53"/>
      <c r="G154" s="53"/>
      <c r="H154" s="53"/>
      <c r="I154" s="60">
        <f t="shared" si="4"/>
        <v>0</v>
      </c>
      <c r="J154" s="53"/>
    </row>
    <row r="155" spans="1:10" ht="15" customHeight="1" x14ac:dyDescent="0.3">
      <c r="A155" s="17"/>
      <c r="B155" s="17"/>
      <c r="C155" s="17"/>
      <c r="D155" s="17"/>
      <c r="E155" s="17"/>
      <c r="F155" s="17"/>
      <c r="G155" s="17"/>
      <c r="H155" s="17"/>
      <c r="I155" s="28">
        <f t="shared" si="4"/>
        <v>0</v>
      </c>
      <c r="J155" s="17"/>
    </row>
    <row r="156" spans="1:10" ht="15" customHeight="1" x14ac:dyDescent="0.3">
      <c r="A156" s="53"/>
      <c r="B156" s="53"/>
      <c r="C156" s="53"/>
      <c r="D156" s="53"/>
      <c r="E156" s="53"/>
      <c r="F156" s="53"/>
      <c r="G156" s="53"/>
      <c r="H156" s="53"/>
      <c r="I156" s="60">
        <f t="shared" si="4"/>
        <v>0</v>
      </c>
      <c r="J156" s="53"/>
    </row>
    <row r="157" spans="1:10" ht="15" customHeight="1" x14ac:dyDescent="0.3">
      <c r="A157" s="17"/>
      <c r="B157" s="17"/>
      <c r="C157" s="17"/>
      <c r="D157" s="17"/>
      <c r="E157" s="17"/>
      <c r="F157" s="17"/>
      <c r="G157" s="17"/>
      <c r="H157" s="17"/>
      <c r="I157" s="28">
        <f t="shared" si="4"/>
        <v>0</v>
      </c>
      <c r="J157" s="17"/>
    </row>
    <row r="158" spans="1:10" ht="15" customHeight="1" x14ac:dyDescent="0.3">
      <c r="A158" s="53"/>
      <c r="B158" s="53"/>
      <c r="C158" s="53"/>
      <c r="D158" s="53"/>
      <c r="E158" s="53"/>
      <c r="F158" s="53"/>
      <c r="G158" s="53"/>
      <c r="H158" s="53"/>
      <c r="I158" s="60">
        <f t="shared" si="4"/>
        <v>0</v>
      </c>
      <c r="J158" s="53"/>
    </row>
    <row r="159" spans="1:10" ht="15" customHeight="1" x14ac:dyDescent="0.3">
      <c r="A159" s="17"/>
      <c r="B159" s="17"/>
      <c r="C159" s="17"/>
      <c r="D159" s="17"/>
      <c r="E159" s="17"/>
      <c r="F159" s="17"/>
      <c r="G159" s="17"/>
      <c r="H159" s="17"/>
      <c r="I159" s="28">
        <f t="shared" si="4"/>
        <v>0</v>
      </c>
      <c r="J159" s="17"/>
    </row>
    <row r="160" spans="1:10" ht="15" customHeight="1" x14ac:dyDescent="0.3">
      <c r="A160" s="53"/>
      <c r="B160" s="53"/>
      <c r="C160" s="53"/>
      <c r="D160" s="53"/>
      <c r="E160" s="53"/>
      <c r="F160" s="53"/>
      <c r="G160" s="53"/>
      <c r="H160" s="53"/>
      <c r="I160" s="60">
        <f t="shared" si="4"/>
        <v>0</v>
      </c>
      <c r="J160" s="53"/>
    </row>
    <row r="161" spans="1:10" ht="15" customHeight="1" x14ac:dyDescent="0.3">
      <c r="A161" s="17"/>
      <c r="B161" s="17"/>
      <c r="C161" s="17"/>
      <c r="D161" s="17"/>
      <c r="E161" s="17"/>
      <c r="F161" s="17"/>
      <c r="G161" s="17"/>
      <c r="H161" s="17"/>
      <c r="I161" s="28">
        <f t="shared" si="4"/>
        <v>0</v>
      </c>
      <c r="J161" s="17"/>
    </row>
    <row r="162" spans="1:10" ht="15" customHeight="1" x14ac:dyDescent="0.3">
      <c r="A162" s="53"/>
      <c r="B162" s="53"/>
      <c r="C162" s="53"/>
      <c r="D162" s="53"/>
      <c r="E162" s="53"/>
      <c r="F162" s="53"/>
      <c r="G162" s="53"/>
      <c r="H162" s="53"/>
      <c r="I162" s="60">
        <f t="shared" si="4"/>
        <v>0</v>
      </c>
      <c r="J162" s="53"/>
    </row>
    <row r="163" spans="1:10" ht="15" customHeight="1" x14ac:dyDescent="0.3">
      <c r="A163" s="17"/>
      <c r="B163" s="17"/>
      <c r="C163" s="17"/>
      <c r="D163" s="17"/>
      <c r="E163" s="17"/>
      <c r="F163" s="17"/>
      <c r="G163" s="17"/>
      <c r="H163" s="17"/>
      <c r="I163" s="28">
        <f t="shared" si="4"/>
        <v>0</v>
      </c>
      <c r="J163" s="17"/>
    </row>
    <row r="164" spans="1:10" ht="15" customHeight="1" x14ac:dyDescent="0.3">
      <c r="A164" s="53"/>
      <c r="B164" s="53"/>
      <c r="C164" s="53"/>
      <c r="D164" s="53"/>
      <c r="E164" s="53"/>
      <c r="F164" s="53"/>
      <c r="G164" s="53"/>
      <c r="H164" s="53"/>
      <c r="I164" s="60">
        <f t="shared" si="4"/>
        <v>0</v>
      </c>
      <c r="J164" s="53"/>
    </row>
    <row r="165" spans="1:10" ht="15" customHeight="1" x14ac:dyDescent="0.3">
      <c r="A165" s="17"/>
      <c r="B165" s="17"/>
      <c r="C165" s="17"/>
      <c r="D165" s="17"/>
      <c r="E165" s="17"/>
      <c r="F165" s="17"/>
      <c r="G165" s="17"/>
      <c r="H165" s="17"/>
      <c r="I165" s="28">
        <f t="shared" si="4"/>
        <v>0</v>
      </c>
      <c r="J165" s="17"/>
    </row>
    <row r="166" spans="1:10" ht="15" customHeight="1" x14ac:dyDescent="0.3">
      <c r="A166" s="53"/>
      <c r="B166" s="53"/>
      <c r="C166" s="53"/>
      <c r="D166" s="53"/>
      <c r="E166" s="53"/>
      <c r="F166" s="53"/>
      <c r="G166" s="53"/>
      <c r="H166" s="53"/>
      <c r="I166" s="60">
        <f t="shared" si="4"/>
        <v>0</v>
      </c>
      <c r="J166" s="53"/>
    </row>
    <row r="167" spans="1:10" ht="15" customHeight="1" x14ac:dyDescent="0.3">
      <c r="A167" s="17"/>
      <c r="B167" s="17"/>
      <c r="C167" s="17"/>
      <c r="D167" s="17"/>
      <c r="E167" s="17"/>
      <c r="F167" s="17"/>
      <c r="G167" s="17"/>
      <c r="H167" s="17"/>
      <c r="I167" s="28">
        <f t="shared" si="4"/>
        <v>0</v>
      </c>
      <c r="J167" s="17"/>
    </row>
    <row r="168" spans="1:10" ht="15" customHeight="1" x14ac:dyDescent="0.3">
      <c r="A168" s="53"/>
      <c r="B168" s="53"/>
      <c r="C168" s="53"/>
      <c r="D168" s="53"/>
      <c r="E168" s="53"/>
      <c r="F168" s="53"/>
      <c r="G168" s="53"/>
      <c r="H168" s="53"/>
      <c r="I168" s="60">
        <f t="shared" si="4"/>
        <v>0</v>
      </c>
      <c r="J168" s="53"/>
    </row>
    <row r="169" spans="1:10" ht="15" customHeight="1" x14ac:dyDescent="0.3">
      <c r="A169" s="17"/>
      <c r="B169" s="17"/>
      <c r="C169" s="17"/>
      <c r="D169" s="17"/>
      <c r="E169" s="17"/>
      <c r="F169" s="17"/>
      <c r="G169" s="17"/>
      <c r="H169" s="17"/>
      <c r="I169" s="28">
        <f t="shared" si="4"/>
        <v>0</v>
      </c>
      <c r="J169" s="17"/>
    </row>
    <row r="170" spans="1:10" ht="15" customHeight="1" x14ac:dyDescent="0.3">
      <c r="A170" s="53"/>
      <c r="B170" s="53"/>
      <c r="C170" s="53"/>
      <c r="D170" s="53"/>
      <c r="E170" s="53"/>
      <c r="F170" s="53"/>
      <c r="G170" s="53"/>
      <c r="H170" s="53"/>
      <c r="I170" s="60">
        <f t="shared" ref="I170:I201" si="5">IFERROR(G170-H170,"")</f>
        <v>0</v>
      </c>
      <c r="J170" s="53"/>
    </row>
    <row r="171" spans="1:10" ht="15" customHeight="1" x14ac:dyDescent="0.3">
      <c r="A171" s="17"/>
      <c r="B171" s="17"/>
      <c r="C171" s="17"/>
      <c r="D171" s="17"/>
      <c r="E171" s="17"/>
      <c r="F171" s="17"/>
      <c r="G171" s="17"/>
      <c r="H171" s="17"/>
      <c r="I171" s="28">
        <f t="shared" si="5"/>
        <v>0</v>
      </c>
      <c r="J171" s="17"/>
    </row>
    <row r="172" spans="1:10" ht="15" customHeight="1" x14ac:dyDescent="0.3">
      <c r="A172" s="53"/>
      <c r="B172" s="53"/>
      <c r="C172" s="53"/>
      <c r="D172" s="53"/>
      <c r="E172" s="53"/>
      <c r="F172" s="53"/>
      <c r="G172" s="53"/>
      <c r="H172" s="53"/>
      <c r="I172" s="60">
        <f t="shared" si="5"/>
        <v>0</v>
      </c>
      <c r="J172" s="53"/>
    </row>
    <row r="173" spans="1:10" ht="15" customHeight="1" x14ac:dyDescent="0.3">
      <c r="A173" s="17"/>
      <c r="B173" s="17"/>
      <c r="C173" s="17"/>
      <c r="D173" s="17"/>
      <c r="E173" s="17"/>
      <c r="F173" s="17"/>
      <c r="G173" s="17"/>
      <c r="H173" s="17"/>
      <c r="I173" s="28">
        <f t="shared" si="5"/>
        <v>0</v>
      </c>
      <c r="J173" s="17"/>
    </row>
    <row r="174" spans="1:10" ht="15" customHeight="1" x14ac:dyDescent="0.3">
      <c r="A174" s="53"/>
      <c r="B174" s="53"/>
      <c r="C174" s="53"/>
      <c r="D174" s="53"/>
      <c r="E174" s="53"/>
      <c r="F174" s="53"/>
      <c r="G174" s="53"/>
      <c r="H174" s="53"/>
      <c r="I174" s="60">
        <f t="shared" si="5"/>
        <v>0</v>
      </c>
      <c r="J174" s="53"/>
    </row>
    <row r="175" spans="1:10" ht="15" customHeight="1" x14ac:dyDescent="0.3">
      <c r="A175" s="17"/>
      <c r="B175" s="17"/>
      <c r="C175" s="17"/>
      <c r="D175" s="17"/>
      <c r="E175" s="17"/>
      <c r="F175" s="17"/>
      <c r="G175" s="17"/>
      <c r="H175" s="17"/>
      <c r="I175" s="28">
        <f t="shared" si="5"/>
        <v>0</v>
      </c>
      <c r="J175" s="17"/>
    </row>
    <row r="176" spans="1:10" ht="15" customHeight="1" x14ac:dyDescent="0.3">
      <c r="A176" s="53"/>
      <c r="B176" s="53"/>
      <c r="C176" s="53"/>
      <c r="D176" s="53"/>
      <c r="E176" s="53"/>
      <c r="F176" s="53"/>
      <c r="G176" s="53"/>
      <c r="H176" s="53"/>
      <c r="I176" s="60">
        <f t="shared" si="5"/>
        <v>0</v>
      </c>
      <c r="J176" s="53"/>
    </row>
    <row r="177" spans="1:10" ht="15" customHeight="1" x14ac:dyDescent="0.3">
      <c r="A177" s="17"/>
      <c r="B177" s="17"/>
      <c r="C177" s="17"/>
      <c r="D177" s="17"/>
      <c r="E177" s="17"/>
      <c r="F177" s="17"/>
      <c r="G177" s="17"/>
      <c r="H177" s="17"/>
      <c r="I177" s="28">
        <f t="shared" si="5"/>
        <v>0</v>
      </c>
      <c r="J177" s="17"/>
    </row>
    <row r="178" spans="1:10" ht="15" customHeight="1" x14ac:dyDescent="0.3">
      <c r="A178" s="53"/>
      <c r="B178" s="53"/>
      <c r="C178" s="53"/>
      <c r="D178" s="53"/>
      <c r="E178" s="53"/>
      <c r="F178" s="53"/>
      <c r="G178" s="53"/>
      <c r="H178" s="53"/>
      <c r="I178" s="60">
        <f t="shared" si="5"/>
        <v>0</v>
      </c>
      <c r="J178" s="53"/>
    </row>
    <row r="179" spans="1:10" ht="15" customHeight="1" x14ac:dyDescent="0.3">
      <c r="A179" s="17"/>
      <c r="B179" s="17"/>
      <c r="C179" s="17"/>
      <c r="D179" s="17"/>
      <c r="E179" s="17"/>
      <c r="F179" s="17"/>
      <c r="G179" s="17"/>
      <c r="H179" s="17"/>
      <c r="I179" s="28">
        <f t="shared" si="5"/>
        <v>0</v>
      </c>
      <c r="J179" s="17"/>
    </row>
    <row r="180" spans="1:10" ht="15" customHeight="1" x14ac:dyDescent="0.3">
      <c r="A180" s="53"/>
      <c r="B180" s="53"/>
      <c r="C180" s="53"/>
      <c r="D180" s="53"/>
      <c r="E180" s="53"/>
      <c r="F180" s="53"/>
      <c r="G180" s="53"/>
      <c r="H180" s="53"/>
      <c r="I180" s="60">
        <f t="shared" si="5"/>
        <v>0</v>
      </c>
      <c r="J180" s="53"/>
    </row>
    <row r="181" spans="1:10" ht="15" customHeight="1" x14ac:dyDescent="0.3">
      <c r="A181" s="17"/>
      <c r="B181" s="17"/>
      <c r="C181" s="17"/>
      <c r="D181" s="17"/>
      <c r="E181" s="17"/>
      <c r="F181" s="17"/>
      <c r="G181" s="17"/>
      <c r="H181" s="17"/>
      <c r="I181" s="28">
        <f t="shared" si="5"/>
        <v>0</v>
      </c>
      <c r="J181" s="17"/>
    </row>
    <row r="182" spans="1:10" ht="15" customHeight="1" x14ac:dyDescent="0.3">
      <c r="A182" s="53"/>
      <c r="B182" s="53"/>
      <c r="C182" s="53"/>
      <c r="D182" s="53"/>
      <c r="E182" s="53"/>
      <c r="F182" s="53"/>
      <c r="G182" s="53"/>
      <c r="H182" s="53"/>
      <c r="I182" s="60">
        <f t="shared" si="5"/>
        <v>0</v>
      </c>
      <c r="J182" s="53"/>
    </row>
    <row r="183" spans="1:10" ht="15" customHeight="1" x14ac:dyDescent="0.3">
      <c r="A183" s="17"/>
      <c r="B183" s="17"/>
      <c r="C183" s="17"/>
      <c r="D183" s="17"/>
      <c r="E183" s="17"/>
      <c r="F183" s="17"/>
      <c r="G183" s="17"/>
      <c r="H183" s="17"/>
      <c r="I183" s="28">
        <f t="shared" si="5"/>
        <v>0</v>
      </c>
      <c r="J183" s="17"/>
    </row>
    <row r="184" spans="1:10" ht="15" customHeight="1" x14ac:dyDescent="0.3">
      <c r="A184" s="53"/>
      <c r="B184" s="53"/>
      <c r="C184" s="53"/>
      <c r="D184" s="53"/>
      <c r="E184" s="53"/>
      <c r="F184" s="53"/>
      <c r="G184" s="53"/>
      <c r="H184" s="53"/>
      <c r="I184" s="60">
        <f t="shared" si="5"/>
        <v>0</v>
      </c>
      <c r="J184" s="53"/>
    </row>
    <row r="185" spans="1:10" ht="15" customHeight="1" x14ac:dyDescent="0.3">
      <c r="A185" s="17"/>
      <c r="B185" s="17"/>
      <c r="C185" s="17"/>
      <c r="D185" s="17"/>
      <c r="E185" s="17"/>
      <c r="F185" s="17"/>
      <c r="G185" s="17"/>
      <c r="H185" s="17"/>
      <c r="I185" s="28">
        <f t="shared" si="5"/>
        <v>0</v>
      </c>
      <c r="J185" s="17"/>
    </row>
    <row r="186" spans="1:10" ht="15" customHeight="1" x14ac:dyDescent="0.3">
      <c r="A186" s="53"/>
      <c r="B186" s="53"/>
      <c r="C186" s="53"/>
      <c r="D186" s="53"/>
      <c r="E186" s="53"/>
      <c r="F186" s="53"/>
      <c r="G186" s="53"/>
      <c r="H186" s="53"/>
      <c r="I186" s="60">
        <f t="shared" si="5"/>
        <v>0</v>
      </c>
      <c r="J186" s="53"/>
    </row>
    <row r="187" spans="1:10" ht="15" customHeight="1" x14ac:dyDescent="0.3">
      <c r="A187" s="17"/>
      <c r="B187" s="17"/>
      <c r="C187" s="17"/>
      <c r="D187" s="17"/>
      <c r="E187" s="17"/>
      <c r="F187" s="17"/>
      <c r="G187" s="17"/>
      <c r="H187" s="17"/>
      <c r="I187" s="28">
        <f t="shared" si="5"/>
        <v>0</v>
      </c>
      <c r="J187" s="17"/>
    </row>
    <row r="188" spans="1:10" ht="15" customHeight="1" x14ac:dyDescent="0.3">
      <c r="A188" s="53"/>
      <c r="B188" s="53"/>
      <c r="C188" s="53"/>
      <c r="D188" s="53"/>
      <c r="E188" s="53"/>
      <c r="F188" s="53"/>
      <c r="G188" s="53"/>
      <c r="H188" s="53"/>
      <c r="I188" s="60">
        <f t="shared" si="5"/>
        <v>0</v>
      </c>
      <c r="J188" s="53"/>
    </row>
    <row r="189" spans="1:10" ht="15" customHeight="1" x14ac:dyDescent="0.3">
      <c r="A189" s="17"/>
      <c r="B189" s="17"/>
      <c r="C189" s="17"/>
      <c r="D189" s="17"/>
      <c r="E189" s="17"/>
      <c r="F189" s="17"/>
      <c r="G189" s="17"/>
      <c r="H189" s="17"/>
      <c r="I189" s="28">
        <f t="shared" si="5"/>
        <v>0</v>
      </c>
      <c r="J189" s="17"/>
    </row>
    <row r="190" spans="1:10" ht="15" customHeight="1" x14ac:dyDescent="0.3">
      <c r="A190" s="53"/>
      <c r="B190" s="53"/>
      <c r="C190" s="53"/>
      <c r="D190" s="53"/>
      <c r="E190" s="53"/>
      <c r="F190" s="53"/>
      <c r="G190" s="53"/>
      <c r="H190" s="53"/>
      <c r="I190" s="60">
        <f t="shared" si="5"/>
        <v>0</v>
      </c>
      <c r="J190" s="53"/>
    </row>
    <row r="191" spans="1:10" ht="15" customHeight="1" x14ac:dyDescent="0.3">
      <c r="A191" s="17"/>
      <c r="B191" s="17"/>
      <c r="C191" s="17"/>
      <c r="D191" s="17"/>
      <c r="E191" s="17"/>
      <c r="F191" s="17"/>
      <c r="G191" s="17"/>
      <c r="H191" s="17"/>
      <c r="I191" s="28">
        <f t="shared" si="5"/>
        <v>0</v>
      </c>
      <c r="J191" s="17"/>
    </row>
    <row r="192" spans="1:10" ht="15" customHeight="1" x14ac:dyDescent="0.3">
      <c r="A192" s="53"/>
      <c r="B192" s="53"/>
      <c r="C192" s="53"/>
      <c r="D192" s="53"/>
      <c r="E192" s="53"/>
      <c r="F192" s="53"/>
      <c r="G192" s="53"/>
      <c r="H192" s="53"/>
      <c r="I192" s="60">
        <f t="shared" si="5"/>
        <v>0</v>
      </c>
      <c r="J192" s="53"/>
    </row>
    <row r="193" spans="1:10" ht="15" customHeight="1" x14ac:dyDescent="0.3">
      <c r="A193" s="17"/>
      <c r="B193" s="17"/>
      <c r="C193" s="17"/>
      <c r="D193" s="17"/>
      <c r="E193" s="17"/>
      <c r="F193" s="17"/>
      <c r="G193" s="17"/>
      <c r="H193" s="17"/>
      <c r="I193" s="28">
        <f t="shared" si="5"/>
        <v>0</v>
      </c>
      <c r="J193" s="17"/>
    </row>
    <row r="194" spans="1:10" ht="15" customHeight="1" x14ac:dyDescent="0.3">
      <c r="A194" s="53"/>
      <c r="B194" s="53"/>
      <c r="C194" s="53"/>
      <c r="D194" s="53"/>
      <c r="E194" s="53"/>
      <c r="F194" s="53"/>
      <c r="G194" s="53"/>
      <c r="H194" s="53"/>
      <c r="I194" s="60">
        <f t="shared" si="5"/>
        <v>0</v>
      </c>
      <c r="J194" s="53"/>
    </row>
    <row r="195" spans="1:10" ht="15" customHeight="1" x14ac:dyDescent="0.3">
      <c r="A195" s="17"/>
      <c r="B195" s="17"/>
      <c r="C195" s="17"/>
      <c r="D195" s="17"/>
      <c r="E195" s="17"/>
      <c r="F195" s="17"/>
      <c r="G195" s="17"/>
      <c r="H195" s="17"/>
      <c r="I195" s="28">
        <f t="shared" si="5"/>
        <v>0</v>
      </c>
      <c r="J195" s="17"/>
    </row>
    <row r="196" spans="1:10" ht="15" customHeight="1" x14ac:dyDescent="0.3">
      <c r="A196" s="53"/>
      <c r="B196" s="53"/>
      <c r="C196" s="53"/>
      <c r="D196" s="53"/>
      <c r="E196" s="53"/>
      <c r="F196" s="53"/>
      <c r="G196" s="53"/>
      <c r="H196" s="53"/>
      <c r="I196" s="60">
        <f t="shared" si="5"/>
        <v>0</v>
      </c>
      <c r="J196" s="53"/>
    </row>
    <row r="197" spans="1:10" ht="15" customHeight="1" x14ac:dyDescent="0.3">
      <c r="A197" s="17"/>
      <c r="B197" s="17"/>
      <c r="C197" s="17"/>
      <c r="D197" s="17"/>
      <c r="E197" s="17"/>
      <c r="F197" s="17"/>
      <c r="G197" s="17"/>
      <c r="H197" s="17"/>
      <c r="I197" s="28">
        <f t="shared" si="5"/>
        <v>0</v>
      </c>
      <c r="J197" s="17"/>
    </row>
    <row r="198" spans="1:10" ht="15" customHeight="1" x14ac:dyDescent="0.3">
      <c r="A198" s="53"/>
      <c r="B198" s="53"/>
      <c r="C198" s="53"/>
      <c r="D198" s="53"/>
      <c r="E198" s="53"/>
      <c r="F198" s="53"/>
      <c r="G198" s="53"/>
      <c r="H198" s="53"/>
      <c r="I198" s="60">
        <f t="shared" si="5"/>
        <v>0</v>
      </c>
      <c r="J198" s="53"/>
    </row>
    <row r="199" spans="1:10" ht="15" customHeight="1" x14ac:dyDescent="0.3">
      <c r="A199" s="17"/>
      <c r="B199" s="17"/>
      <c r="C199" s="17"/>
      <c r="D199" s="17"/>
      <c r="E199" s="17"/>
      <c r="F199" s="17"/>
      <c r="G199" s="17"/>
      <c r="H199" s="17"/>
      <c r="I199" s="28">
        <f t="shared" si="5"/>
        <v>0</v>
      </c>
      <c r="J199" s="17"/>
    </row>
    <row r="200" spans="1:10" ht="15" customHeight="1" x14ac:dyDescent="0.3">
      <c r="A200" s="53"/>
      <c r="B200" s="53"/>
      <c r="C200" s="53"/>
      <c r="D200" s="53"/>
      <c r="E200" s="53"/>
      <c r="F200" s="53"/>
      <c r="G200" s="53"/>
      <c r="H200" s="53"/>
      <c r="I200" s="60">
        <f t="shared" si="5"/>
        <v>0</v>
      </c>
      <c r="J200" s="53"/>
    </row>
    <row r="201" spans="1:10" ht="15" customHeight="1" x14ac:dyDescent="0.3">
      <c r="A201" s="17"/>
      <c r="B201" s="17"/>
      <c r="C201" s="17"/>
      <c r="D201" s="17"/>
      <c r="E201" s="17"/>
      <c r="F201" s="17"/>
      <c r="G201" s="17"/>
      <c r="H201" s="17"/>
      <c r="I201" s="28">
        <f t="shared" si="5"/>
        <v>0</v>
      </c>
      <c r="J201" s="17"/>
    </row>
    <row r="203" spans="1:10" ht="15" customHeight="1" x14ac:dyDescent="0.3">
      <c r="A203" s="109" t="s">
        <v>94</v>
      </c>
      <c r="B203" s="109"/>
      <c r="C203" s="109"/>
      <c r="D203" s="109"/>
      <c r="E203" s="109"/>
      <c r="F203" s="109"/>
      <c r="G203" s="61">
        <f>SUM(G4:G202)</f>
        <v>12870</v>
      </c>
      <c r="H203" s="61">
        <f>SUM(H4:H202)</f>
        <v>6200</v>
      </c>
      <c r="I203" s="61">
        <f>G203-H203</f>
        <v>6670</v>
      </c>
    </row>
  </sheetData>
  <mergeCells count="2">
    <mergeCell ref="A1:J1"/>
    <mergeCell ref="A203:F20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55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12" customWidth="1"/>
    <col min="3" max="3" width="38" customWidth="1"/>
    <col min="4" max="4" width="14" customWidth="1"/>
    <col min="5" max="5" width="10" customWidth="1"/>
    <col min="6" max="6" width="14" customWidth="1"/>
    <col min="7" max="7" width="16" customWidth="1"/>
    <col min="8" max="8" width="14" customWidth="1"/>
    <col min="9" max="9" width="3" customWidth="1"/>
  </cols>
  <sheetData>
    <row r="1" spans="1:9" ht="7.5" customHeight="1" x14ac:dyDescent="0.3">
      <c r="A1" s="62"/>
      <c r="B1" s="62"/>
      <c r="C1" s="62"/>
      <c r="D1" s="62"/>
      <c r="E1" s="62"/>
      <c r="F1" s="62"/>
      <c r="G1" s="62"/>
      <c r="H1" s="62"/>
      <c r="I1" s="62"/>
    </row>
    <row r="2" spans="1:9" ht="51.75" customHeight="1" x14ac:dyDescent="0.3">
      <c r="A2" s="110" t="s">
        <v>189</v>
      </c>
      <c r="B2" s="110"/>
      <c r="C2" s="110"/>
      <c r="D2" s="110"/>
      <c r="E2" s="110"/>
      <c r="F2" s="110"/>
      <c r="G2" s="110"/>
      <c r="H2" s="110"/>
      <c r="I2" s="110"/>
    </row>
    <row r="3" spans="1:9" ht="7.5" customHeight="1" x14ac:dyDescent="0.3">
      <c r="A3" s="62"/>
      <c r="B3" s="62"/>
      <c r="C3" s="62"/>
      <c r="D3" s="62"/>
      <c r="E3" s="62"/>
      <c r="F3" s="62"/>
      <c r="G3" s="62"/>
      <c r="H3" s="62"/>
      <c r="I3" s="62"/>
    </row>
    <row r="4" spans="1:9" ht="18" customHeight="1" x14ac:dyDescent="0.3">
      <c r="B4" s="63" t="s">
        <v>190</v>
      </c>
      <c r="C4" s="64" t="s">
        <v>191</v>
      </c>
      <c r="E4" s="63" t="s">
        <v>192</v>
      </c>
      <c r="F4" s="64"/>
    </row>
    <row r="5" spans="1:9" ht="18" customHeight="1" x14ac:dyDescent="0.3">
      <c r="B5" s="63" t="s">
        <v>193</v>
      </c>
      <c r="C5" s="64"/>
      <c r="E5" s="63" t="s">
        <v>194</v>
      </c>
      <c r="F5" s="64"/>
    </row>
    <row r="6" spans="1:9" ht="18" customHeight="1" x14ac:dyDescent="0.3">
      <c r="B6" s="63" t="s">
        <v>195</v>
      </c>
      <c r="C6" s="64" t="s">
        <v>196</v>
      </c>
      <c r="E6" s="63" t="s">
        <v>197</v>
      </c>
      <c r="F6" s="64"/>
    </row>
    <row r="7" spans="1:9" ht="18" customHeight="1" x14ac:dyDescent="0.3">
      <c r="B7" s="63" t="s">
        <v>198</v>
      </c>
      <c r="C7" s="64" t="s">
        <v>199</v>
      </c>
      <c r="E7" s="63" t="s">
        <v>200</v>
      </c>
      <c r="F7" s="64"/>
    </row>
    <row r="8" spans="1:9" ht="18" customHeight="1" x14ac:dyDescent="0.3">
      <c r="B8" s="63" t="s">
        <v>201</v>
      </c>
      <c r="C8" s="65">
        <v>0.3</v>
      </c>
      <c r="E8" s="63" t="s">
        <v>202</v>
      </c>
      <c r="F8" s="65">
        <v>0.23</v>
      </c>
    </row>
    <row r="9" spans="1:9" ht="7.5" customHeight="1" x14ac:dyDescent="0.3"/>
    <row r="10" spans="1:9" ht="21.75" customHeight="1" x14ac:dyDescent="0.3">
      <c r="A10" s="62"/>
      <c r="B10" s="66" t="s">
        <v>203</v>
      </c>
      <c r="C10" s="67" t="s">
        <v>204</v>
      </c>
      <c r="D10" s="68" t="s">
        <v>205</v>
      </c>
      <c r="E10" s="66" t="s">
        <v>206</v>
      </c>
      <c r="F10" s="68" t="s">
        <v>207</v>
      </c>
      <c r="G10" s="68" t="s">
        <v>208</v>
      </c>
      <c r="H10" s="68" t="s">
        <v>209</v>
      </c>
      <c r="I10" s="62"/>
    </row>
    <row r="11" spans="1:9" ht="6" customHeight="1" x14ac:dyDescent="0.3">
      <c r="A11" s="69"/>
      <c r="B11" s="111">
        <v>1</v>
      </c>
      <c r="D11" s="69"/>
      <c r="E11" s="69"/>
      <c r="F11" s="69"/>
      <c r="G11" s="69"/>
      <c r="H11" s="112">
        <f>G12</f>
        <v>234</v>
      </c>
      <c r="I11" s="69"/>
    </row>
    <row r="12" spans="1:9" ht="18" customHeight="1" x14ac:dyDescent="0.3">
      <c r="A12" s="69"/>
      <c r="B12" s="111"/>
      <c r="C12" s="70" t="s">
        <v>210</v>
      </c>
      <c r="D12" s="71">
        <v>180</v>
      </c>
      <c r="E12" s="72">
        <f>$C$8</f>
        <v>0.3</v>
      </c>
      <c r="F12" s="73">
        <f>D12*(1+E12)</f>
        <v>234</v>
      </c>
      <c r="G12" s="73">
        <f>B11*F12</f>
        <v>234</v>
      </c>
      <c r="H12" s="112"/>
      <c r="I12" s="69"/>
    </row>
    <row r="13" spans="1:9" ht="13.5" customHeight="1" x14ac:dyDescent="0.3">
      <c r="A13" s="69"/>
      <c r="B13" s="111"/>
      <c r="C13" s="74" t="s">
        <v>211</v>
      </c>
      <c r="D13" s="69"/>
      <c r="E13" s="69"/>
      <c r="F13" s="69"/>
      <c r="G13" s="69"/>
      <c r="H13" s="112"/>
      <c r="I13" s="69"/>
    </row>
    <row r="14" spans="1:9" ht="6" customHeight="1" x14ac:dyDescent="0.3">
      <c r="A14" s="69"/>
      <c r="B14" s="111">
        <v>4</v>
      </c>
      <c r="D14" s="69"/>
      <c r="E14" s="69"/>
      <c r="F14" s="69"/>
      <c r="G14" s="69"/>
      <c r="H14" s="112">
        <f>G15</f>
        <v>624</v>
      </c>
      <c r="I14" s="69"/>
    </row>
    <row r="15" spans="1:9" ht="18" customHeight="1" x14ac:dyDescent="0.3">
      <c r="A15" s="69"/>
      <c r="B15" s="111"/>
      <c r="C15" s="70" t="s">
        <v>212</v>
      </c>
      <c r="D15" s="71">
        <v>120</v>
      </c>
      <c r="E15" s="72">
        <f>$C$8</f>
        <v>0.3</v>
      </c>
      <c r="F15" s="73">
        <f>D15*(1+E15)</f>
        <v>156</v>
      </c>
      <c r="G15" s="73">
        <f>B14*F15</f>
        <v>624</v>
      </c>
      <c r="H15" s="112"/>
      <c r="I15" s="69"/>
    </row>
    <row r="16" spans="1:9" ht="13.5" customHeight="1" x14ac:dyDescent="0.3">
      <c r="A16" s="69"/>
      <c r="B16" s="111"/>
      <c r="C16" s="74" t="s">
        <v>213</v>
      </c>
      <c r="D16" s="69"/>
      <c r="E16" s="69"/>
      <c r="F16" s="69"/>
      <c r="G16" s="69"/>
      <c r="H16" s="112"/>
      <c r="I16" s="69"/>
    </row>
    <row r="17" spans="1:9" ht="6" customHeight="1" x14ac:dyDescent="0.3">
      <c r="A17" s="69"/>
      <c r="B17" s="111">
        <v>4</v>
      </c>
      <c r="D17" s="69"/>
      <c r="E17" s="69"/>
      <c r="F17" s="69"/>
      <c r="G17" s="69"/>
      <c r="H17" s="112">
        <f>G18</f>
        <v>416</v>
      </c>
      <c r="I17" s="69"/>
    </row>
    <row r="18" spans="1:9" ht="18" customHeight="1" x14ac:dyDescent="0.3">
      <c r="A18" s="69"/>
      <c r="B18" s="111"/>
      <c r="C18" s="70" t="s">
        <v>214</v>
      </c>
      <c r="D18" s="71">
        <v>80</v>
      </c>
      <c r="E18" s="72">
        <f>$C$8</f>
        <v>0.3</v>
      </c>
      <c r="F18" s="73">
        <f>D18*(1+E18)</f>
        <v>104</v>
      </c>
      <c r="G18" s="73">
        <f>B17*F18</f>
        <v>416</v>
      </c>
      <c r="H18" s="112"/>
      <c r="I18" s="69"/>
    </row>
    <row r="19" spans="1:9" ht="13.5" customHeight="1" x14ac:dyDescent="0.3">
      <c r="A19" s="69"/>
      <c r="B19" s="111"/>
      <c r="C19" s="74" t="s">
        <v>215</v>
      </c>
      <c r="D19" s="69"/>
      <c r="E19" s="69"/>
      <c r="F19" s="69"/>
      <c r="G19" s="69"/>
      <c r="H19" s="112"/>
      <c r="I19" s="69"/>
    </row>
    <row r="20" spans="1:9" ht="6" customHeight="1" x14ac:dyDescent="0.3">
      <c r="A20" s="69"/>
      <c r="B20" s="111">
        <v>50</v>
      </c>
      <c r="D20" s="69"/>
      <c r="E20" s="69"/>
      <c r="F20" s="69"/>
      <c r="G20" s="69"/>
      <c r="H20" s="112">
        <f>G21</f>
        <v>6175</v>
      </c>
      <c r="I20" s="69"/>
    </row>
    <row r="21" spans="1:9" ht="18" customHeight="1" x14ac:dyDescent="0.3">
      <c r="A21" s="69"/>
      <c r="B21" s="111"/>
      <c r="C21" s="70" t="s">
        <v>216</v>
      </c>
      <c r="D21" s="71">
        <v>95</v>
      </c>
      <c r="E21" s="72">
        <f>$C$8</f>
        <v>0.3</v>
      </c>
      <c r="F21" s="73">
        <f>D21*(1+E21)</f>
        <v>123.5</v>
      </c>
      <c r="G21" s="73">
        <f>B20*F21</f>
        <v>6175</v>
      </c>
      <c r="H21" s="112"/>
      <c r="I21" s="69"/>
    </row>
    <row r="22" spans="1:9" ht="13.5" customHeight="1" x14ac:dyDescent="0.3">
      <c r="A22" s="69"/>
      <c r="B22" s="111"/>
      <c r="C22" s="74" t="s">
        <v>217</v>
      </c>
      <c r="D22" s="69"/>
      <c r="E22" s="69"/>
      <c r="F22" s="69"/>
      <c r="G22" s="69"/>
      <c r="H22" s="112"/>
      <c r="I22" s="69"/>
    </row>
    <row r="23" spans="1:9" ht="6" customHeight="1" x14ac:dyDescent="0.3">
      <c r="A23" s="69"/>
      <c r="B23" s="111">
        <v>200</v>
      </c>
      <c r="D23" s="69"/>
      <c r="E23" s="69"/>
      <c r="F23" s="69"/>
      <c r="G23" s="69"/>
      <c r="H23" s="112">
        <f>G24</f>
        <v>109.2</v>
      </c>
      <c r="I23" s="69"/>
    </row>
    <row r="24" spans="1:9" ht="18" customHeight="1" x14ac:dyDescent="0.3">
      <c r="A24" s="69"/>
      <c r="B24" s="111"/>
      <c r="C24" s="70" t="s">
        <v>218</v>
      </c>
      <c r="D24" s="71">
        <v>0.42</v>
      </c>
      <c r="E24" s="72">
        <f>$C$8</f>
        <v>0.3</v>
      </c>
      <c r="F24" s="73">
        <f>D24*(1+E24)</f>
        <v>0.54600000000000004</v>
      </c>
      <c r="G24" s="73">
        <f>B23*F24</f>
        <v>109.2</v>
      </c>
      <c r="H24" s="112"/>
      <c r="I24" s="69"/>
    </row>
    <row r="25" spans="1:9" ht="13.5" customHeight="1" x14ac:dyDescent="0.3">
      <c r="A25" s="69"/>
      <c r="B25" s="111"/>
      <c r="C25" s="74" t="s">
        <v>219</v>
      </c>
      <c r="D25" s="69"/>
      <c r="E25" s="69"/>
      <c r="F25" s="69"/>
      <c r="G25" s="69"/>
      <c r="H25" s="112"/>
      <c r="I25" s="69"/>
    </row>
    <row r="26" spans="1:9" ht="6" customHeight="1" x14ac:dyDescent="0.3">
      <c r="A26" s="69"/>
      <c r="B26" s="111">
        <v>30</v>
      </c>
      <c r="D26" s="69"/>
      <c r="E26" s="69"/>
      <c r="F26" s="69"/>
      <c r="G26" s="69"/>
      <c r="H26" s="112">
        <f>G27</f>
        <v>273</v>
      </c>
      <c r="I26" s="69"/>
    </row>
    <row r="27" spans="1:9" ht="18" customHeight="1" x14ac:dyDescent="0.3">
      <c r="A27" s="69"/>
      <c r="B27" s="111"/>
      <c r="C27" s="70" t="s">
        <v>220</v>
      </c>
      <c r="D27" s="71">
        <v>7</v>
      </c>
      <c r="E27" s="72">
        <f>$C$8</f>
        <v>0.3</v>
      </c>
      <c r="F27" s="73">
        <f>D27*(1+E27)</f>
        <v>9.1</v>
      </c>
      <c r="G27" s="73">
        <f>B26*F27</f>
        <v>273</v>
      </c>
      <c r="H27" s="112"/>
      <c r="I27" s="69"/>
    </row>
    <row r="28" spans="1:9" ht="13.5" customHeight="1" x14ac:dyDescent="0.3">
      <c r="A28" s="69"/>
      <c r="B28" s="111"/>
      <c r="C28" s="74" t="s">
        <v>221</v>
      </c>
      <c r="D28" s="69"/>
      <c r="E28" s="69"/>
      <c r="F28" s="69"/>
      <c r="G28" s="69"/>
      <c r="H28" s="112"/>
      <c r="I28" s="69"/>
    </row>
    <row r="29" spans="1:9" ht="6" customHeight="1" x14ac:dyDescent="0.3">
      <c r="A29" s="69"/>
      <c r="B29" s="111">
        <v>1</v>
      </c>
      <c r="D29" s="69"/>
      <c r="E29" s="69"/>
      <c r="F29" s="69"/>
      <c r="G29" s="69"/>
      <c r="H29" s="112">
        <f>G30</f>
        <v>1105</v>
      </c>
      <c r="I29" s="69"/>
    </row>
    <row r="30" spans="1:9" ht="18" customHeight="1" x14ac:dyDescent="0.3">
      <c r="A30" s="69"/>
      <c r="B30" s="111"/>
      <c r="C30" s="70" t="s">
        <v>222</v>
      </c>
      <c r="D30" s="71">
        <v>850</v>
      </c>
      <c r="E30" s="72">
        <f>$C$8</f>
        <v>0.3</v>
      </c>
      <c r="F30" s="73">
        <f>D30*(1+E30)</f>
        <v>1105</v>
      </c>
      <c r="G30" s="73">
        <f>B29*F30</f>
        <v>1105</v>
      </c>
      <c r="H30" s="112"/>
      <c r="I30" s="69"/>
    </row>
    <row r="31" spans="1:9" ht="13.5" customHeight="1" x14ac:dyDescent="0.3">
      <c r="A31" s="69"/>
      <c r="B31" s="111"/>
      <c r="C31" s="74" t="s">
        <v>223</v>
      </c>
      <c r="D31" s="69"/>
      <c r="E31" s="69"/>
      <c r="F31" s="69"/>
      <c r="G31" s="69"/>
      <c r="H31" s="112"/>
      <c r="I31" s="69"/>
    </row>
    <row r="32" spans="1:9" ht="6" customHeight="1" x14ac:dyDescent="0.3">
      <c r="A32" s="69"/>
      <c r="B32" s="111">
        <v>1</v>
      </c>
      <c r="D32" s="69"/>
      <c r="E32" s="69"/>
      <c r="F32" s="69"/>
      <c r="G32" s="69"/>
      <c r="H32" s="112">
        <f>G33</f>
        <v>845</v>
      </c>
      <c r="I32" s="69"/>
    </row>
    <row r="33" spans="1:9" ht="18" customHeight="1" x14ac:dyDescent="0.3">
      <c r="A33" s="69"/>
      <c r="B33" s="111"/>
      <c r="C33" s="70" t="s">
        <v>224</v>
      </c>
      <c r="D33" s="71">
        <v>650</v>
      </c>
      <c r="E33" s="72">
        <f>$C$8</f>
        <v>0.3</v>
      </c>
      <c r="F33" s="73">
        <f>D33*(1+E33)</f>
        <v>845</v>
      </c>
      <c r="G33" s="73">
        <f>B32*F33</f>
        <v>845</v>
      </c>
      <c r="H33" s="112"/>
      <c r="I33" s="69"/>
    </row>
    <row r="34" spans="1:9" ht="13.5" customHeight="1" x14ac:dyDescent="0.3">
      <c r="A34" s="69"/>
      <c r="B34" s="111"/>
      <c r="C34" s="74" t="s">
        <v>225</v>
      </c>
      <c r="D34" s="69"/>
      <c r="E34" s="69"/>
      <c r="F34" s="69"/>
      <c r="G34" s="69"/>
      <c r="H34" s="112"/>
      <c r="I34" s="69"/>
    </row>
    <row r="35" spans="1:9" ht="6" customHeight="1" x14ac:dyDescent="0.3">
      <c r="A35" s="69"/>
      <c r="B35" s="111">
        <v>80</v>
      </c>
      <c r="D35" s="69"/>
      <c r="E35" s="69"/>
      <c r="F35" s="69"/>
      <c r="G35" s="69"/>
      <c r="H35" s="112">
        <f>G36</f>
        <v>1300</v>
      </c>
      <c r="I35" s="69"/>
    </row>
    <row r="36" spans="1:9" ht="18" customHeight="1" x14ac:dyDescent="0.3">
      <c r="A36" s="69"/>
      <c r="B36" s="111"/>
      <c r="C36" s="70" t="s">
        <v>226</v>
      </c>
      <c r="D36" s="71">
        <v>12.5</v>
      </c>
      <c r="E36" s="72">
        <f>$C$8</f>
        <v>0.3</v>
      </c>
      <c r="F36" s="73">
        <f>D36*(1+E36)</f>
        <v>16.25</v>
      </c>
      <c r="G36" s="73">
        <f>B35*F36</f>
        <v>1300</v>
      </c>
      <c r="H36" s="112"/>
      <c r="I36" s="69"/>
    </row>
    <row r="37" spans="1:9" ht="13.5" customHeight="1" x14ac:dyDescent="0.3">
      <c r="A37" s="69"/>
      <c r="B37" s="111"/>
      <c r="C37" s="74" t="s">
        <v>227</v>
      </c>
      <c r="D37" s="69"/>
      <c r="E37" s="69"/>
      <c r="F37" s="69"/>
      <c r="G37" s="69"/>
      <c r="H37" s="112"/>
      <c r="I37" s="69"/>
    </row>
    <row r="38" spans="1:9" ht="6" customHeight="1" x14ac:dyDescent="0.3">
      <c r="A38" s="69"/>
      <c r="B38" s="111">
        <v>1</v>
      </c>
      <c r="D38" s="69"/>
      <c r="E38" s="69"/>
      <c r="F38" s="69"/>
      <c r="G38" s="69"/>
      <c r="H38" s="112">
        <f>G39</f>
        <v>1950</v>
      </c>
      <c r="I38" s="69"/>
    </row>
    <row r="39" spans="1:9" ht="18" customHeight="1" x14ac:dyDescent="0.3">
      <c r="A39" s="69"/>
      <c r="B39" s="111"/>
      <c r="C39" s="70" t="s">
        <v>228</v>
      </c>
      <c r="D39" s="71">
        <v>1500</v>
      </c>
      <c r="E39" s="72">
        <f>$C$8</f>
        <v>0.3</v>
      </c>
      <c r="F39" s="73">
        <f>D39*(1+E39)</f>
        <v>1950</v>
      </c>
      <c r="G39" s="73">
        <f>B38*F39</f>
        <v>1950</v>
      </c>
      <c r="H39" s="112"/>
      <c r="I39" s="69"/>
    </row>
    <row r="40" spans="1:9" ht="13.5" customHeight="1" x14ac:dyDescent="0.3">
      <c r="A40" s="69"/>
      <c r="B40" s="111"/>
      <c r="C40" s="74" t="s">
        <v>229</v>
      </c>
      <c r="D40" s="69"/>
      <c r="E40" s="69"/>
      <c r="F40" s="69"/>
      <c r="G40" s="69"/>
      <c r="H40" s="112"/>
      <c r="I40" s="69"/>
    </row>
    <row r="41" spans="1:9" ht="7.5" customHeight="1" x14ac:dyDescent="0.3">
      <c r="A41" s="62"/>
      <c r="B41" s="62"/>
      <c r="C41" s="62"/>
      <c r="D41" s="62"/>
      <c r="E41" s="62"/>
      <c r="F41" s="62"/>
      <c r="G41" s="62"/>
      <c r="H41" s="62"/>
      <c r="I41" s="62"/>
    </row>
    <row r="42" spans="1:9" ht="21.75" customHeight="1" x14ac:dyDescent="0.3">
      <c r="A42" s="113" t="s">
        <v>230</v>
      </c>
      <c r="B42" s="113"/>
      <c r="C42" s="113"/>
      <c r="D42" s="113"/>
      <c r="E42" s="113"/>
      <c r="F42" s="113"/>
      <c r="G42" s="75">
        <f>SUM(G11:G40)</f>
        <v>13031.2</v>
      </c>
      <c r="H42" s="76">
        <f>G42</f>
        <v>13031.2</v>
      </c>
      <c r="I42" s="62"/>
    </row>
    <row r="43" spans="1:9" ht="18" customHeight="1" x14ac:dyDescent="0.3">
      <c r="A43" s="114" t="s">
        <v>231</v>
      </c>
      <c r="B43" s="114"/>
      <c r="C43" s="114"/>
      <c r="D43" s="114"/>
      <c r="E43" s="114"/>
      <c r="F43" s="114"/>
      <c r="G43" s="77">
        <f>G42*$F$8</f>
        <v>2997.1760000000004</v>
      </c>
      <c r="H43" s="77">
        <f>G43</f>
        <v>2997.1760000000004</v>
      </c>
      <c r="I43" s="78"/>
    </row>
    <row r="44" spans="1:9" ht="24" customHeight="1" x14ac:dyDescent="0.3">
      <c r="A44" s="115" t="s">
        <v>232</v>
      </c>
      <c r="B44" s="115"/>
      <c r="C44" s="115"/>
      <c r="D44" s="115"/>
      <c r="E44" s="115"/>
      <c r="F44" s="115"/>
      <c r="G44" s="79">
        <f>G42+G43</f>
        <v>16028.376</v>
      </c>
      <c r="H44" s="80">
        <f>G44</f>
        <v>16028.376</v>
      </c>
      <c r="I44" s="62"/>
    </row>
    <row r="45" spans="1:9" ht="6" customHeight="1" x14ac:dyDescent="0.3"/>
    <row r="46" spans="1:9" ht="18" customHeight="1" x14ac:dyDescent="0.3">
      <c r="A46" s="116" t="s">
        <v>233</v>
      </c>
      <c r="B46" s="116"/>
      <c r="C46" s="116"/>
      <c r="D46" s="116"/>
      <c r="E46" s="116"/>
      <c r="F46" s="116"/>
      <c r="G46" s="116"/>
      <c r="H46" s="116"/>
      <c r="I46" s="62"/>
    </row>
    <row r="47" spans="1:9" ht="15.75" customHeight="1" x14ac:dyDescent="0.3">
      <c r="A47" s="117" t="s">
        <v>234</v>
      </c>
      <c r="B47" s="117"/>
      <c r="C47" s="117"/>
      <c r="D47" s="117"/>
      <c r="E47" s="117"/>
      <c r="F47" s="118">
        <f>B11*D12+B14*D15+B17*D18+B20*D21+B23*D24+B26*D27+B29*D30+B32*D33+B35*D36+B38*D39</f>
        <v>10024</v>
      </c>
      <c r="G47" s="118"/>
      <c r="H47" s="118"/>
      <c r="I47" s="78"/>
    </row>
    <row r="48" spans="1:9" ht="15.75" customHeight="1" x14ac:dyDescent="0.3">
      <c r="A48" s="117" t="s">
        <v>235</v>
      </c>
      <c r="B48" s="117"/>
      <c r="C48" s="117"/>
      <c r="D48" s="117"/>
      <c r="E48" s="117"/>
      <c r="F48" s="118">
        <f>G42</f>
        <v>13031.2</v>
      </c>
      <c r="G48" s="118"/>
      <c r="H48" s="118"/>
      <c r="I48" s="78"/>
    </row>
    <row r="49" spans="1:9" ht="15.75" customHeight="1" x14ac:dyDescent="0.3">
      <c r="A49" s="117" t="s">
        <v>236</v>
      </c>
      <c r="B49" s="117"/>
      <c r="C49" s="117"/>
      <c r="D49" s="117"/>
      <c r="E49" s="117"/>
      <c r="F49" s="118">
        <f>G48-G47</f>
        <v>0</v>
      </c>
      <c r="G49" s="118"/>
      <c r="H49" s="118"/>
      <c r="I49" s="78"/>
    </row>
    <row r="50" spans="1:9" ht="15.75" customHeight="1" x14ac:dyDescent="0.3">
      <c r="A50" s="117" t="s">
        <v>237</v>
      </c>
      <c r="B50" s="117"/>
      <c r="C50" s="117"/>
      <c r="D50" s="117"/>
      <c r="E50" s="117"/>
      <c r="F50" s="119">
        <f>$C$8</f>
        <v>0.3</v>
      </c>
      <c r="G50" s="119"/>
      <c r="H50" s="119"/>
      <c r="I50" s="78"/>
    </row>
    <row r="51" spans="1:9" ht="15.75" customHeight="1" x14ac:dyDescent="0.3">
      <c r="A51" s="117" t="s">
        <v>238</v>
      </c>
      <c r="B51" s="117"/>
      <c r="C51" s="117"/>
      <c r="D51" s="117"/>
      <c r="E51" s="117"/>
      <c r="F51" s="120">
        <f>IFERROR(G49/G47,0)</f>
        <v>0</v>
      </c>
      <c r="G51" s="120"/>
      <c r="H51" s="120"/>
      <c r="I51" s="78"/>
    </row>
    <row r="52" spans="1:9" ht="6" customHeight="1" x14ac:dyDescent="0.3"/>
    <row r="53" spans="1:9" ht="27.75" customHeight="1" x14ac:dyDescent="0.3">
      <c r="A53" s="121" t="s">
        <v>239</v>
      </c>
      <c r="B53" s="121"/>
      <c r="C53" s="121"/>
      <c r="D53" s="121"/>
      <c r="E53" s="121"/>
      <c r="F53" s="121"/>
      <c r="G53" s="121"/>
      <c r="H53" s="121"/>
    </row>
    <row r="54" spans="1:9" ht="5.25" customHeight="1" x14ac:dyDescent="0.3"/>
    <row r="55" spans="1:9" ht="15" customHeight="1" x14ac:dyDescent="0.3">
      <c r="A55" s="62"/>
      <c r="B55" s="67" t="s">
        <v>240</v>
      </c>
      <c r="C55" s="62"/>
      <c r="D55" s="122"/>
      <c r="E55" s="122"/>
      <c r="F55" s="122"/>
      <c r="G55" s="122"/>
      <c r="H55" s="62"/>
      <c r="I55" s="62"/>
    </row>
  </sheetData>
  <mergeCells count="37">
    <mergeCell ref="A51:E51"/>
    <mergeCell ref="F51:H51"/>
    <mergeCell ref="A53:H53"/>
    <mergeCell ref="D55:G55"/>
    <mergeCell ref="A48:E48"/>
    <mergeCell ref="F48:H48"/>
    <mergeCell ref="A49:E49"/>
    <mergeCell ref="F49:H49"/>
    <mergeCell ref="A50:E50"/>
    <mergeCell ref="F50:H50"/>
    <mergeCell ref="A43:F43"/>
    <mergeCell ref="A44:F44"/>
    <mergeCell ref="A46:H46"/>
    <mergeCell ref="A47:E47"/>
    <mergeCell ref="F47:H47"/>
    <mergeCell ref="B35:B37"/>
    <mergeCell ref="H35:H37"/>
    <mergeCell ref="B38:B40"/>
    <mergeCell ref="H38:H40"/>
    <mergeCell ref="A42:F42"/>
    <mergeCell ref="B26:B28"/>
    <mergeCell ref="H26:H28"/>
    <mergeCell ref="B29:B31"/>
    <mergeCell ref="H29:H31"/>
    <mergeCell ref="B32:B34"/>
    <mergeCell ref="H32:H34"/>
    <mergeCell ref="B17:B19"/>
    <mergeCell ref="H17:H19"/>
    <mergeCell ref="B20:B22"/>
    <mergeCell ref="H20:H22"/>
    <mergeCell ref="B23:B25"/>
    <mergeCell ref="H23:H25"/>
    <mergeCell ref="A2:I2"/>
    <mergeCell ref="B11:B13"/>
    <mergeCell ref="H11:H13"/>
    <mergeCell ref="B14:B16"/>
    <mergeCell ref="H14:H16"/>
  </mergeCells>
  <pageMargins left="0.75" right="0.75" top="1" bottom="1" header="0.511811023622047" footer="0.511811023622047"/>
  <pageSetup paperSize="9" fitToHeight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221"/>
  <sheetViews>
    <sheetView showGridLines="0" tabSelected="1" topLeftCell="D1" zoomScaleNormal="100" workbookViewId="0">
      <pane ySplit="9" topLeftCell="A10" activePane="bottomLeft" state="frozen"/>
      <selection pane="bottomLeft" activeCell="D10" sqref="D10:E14"/>
    </sheetView>
  </sheetViews>
  <sheetFormatPr defaultColWidth="8.6640625" defaultRowHeight="14.4" x14ac:dyDescent="0.3"/>
  <cols>
    <col min="1" max="1" width="8" customWidth="1"/>
    <col min="2" max="2" width="7" customWidth="1"/>
    <col min="3" max="3" width="9.77734375" bestFit="1" customWidth="1"/>
    <col min="4" max="4" width="8" customWidth="1"/>
    <col min="5" max="5" width="15.109375" bestFit="1" customWidth="1"/>
    <col min="6" max="6" width="18" customWidth="1"/>
    <col min="7" max="7" width="26" customWidth="1"/>
    <col min="8" max="8" width="22" customWidth="1"/>
    <col min="9" max="9" width="18" customWidth="1"/>
    <col min="10" max="10" width="12" customWidth="1"/>
    <col min="11" max="11" width="11" customWidth="1"/>
    <col min="12" max="12" width="12" customWidth="1"/>
    <col min="13" max="13" width="14" customWidth="1"/>
    <col min="14" max="14" width="4" customWidth="1"/>
  </cols>
  <sheetData>
    <row r="1" spans="1:14" ht="36" customHeight="1" x14ac:dyDescent="0.3">
      <c r="A1" s="123" t="s">
        <v>241</v>
      </c>
      <c r="B1" s="123"/>
      <c r="C1" s="123"/>
      <c r="D1" s="124" t="s">
        <v>242</v>
      </c>
      <c r="E1" s="124"/>
      <c r="F1" s="124"/>
      <c r="G1" s="124"/>
      <c r="H1" s="124"/>
      <c r="I1" s="124"/>
      <c r="J1" s="124"/>
      <c r="K1" s="124"/>
      <c r="L1" s="125" t="s">
        <v>243</v>
      </c>
      <c r="M1" s="125"/>
    </row>
    <row r="2" spans="1:14" ht="36" customHeight="1" x14ac:dyDescent="0.3">
      <c r="A2" s="123"/>
      <c r="B2" s="123"/>
      <c r="C2" s="123"/>
      <c r="D2" s="124"/>
      <c r="E2" s="124"/>
      <c r="F2" s="124"/>
      <c r="G2" s="124"/>
      <c r="H2" s="124"/>
      <c r="I2" s="124"/>
      <c r="J2" s="124"/>
      <c r="K2" s="124"/>
      <c r="L2" s="126">
        <f>SUM(J10:J209)+SUM(K10:K209)</f>
        <v>72.5</v>
      </c>
      <c r="M2" s="126"/>
    </row>
    <row r="3" spans="1:14" ht="7.5" customHeight="1" x14ac:dyDescent="0.3">
      <c r="C3">
        <v>2026</v>
      </c>
    </row>
    <row r="4" spans="1:14" ht="20.25" customHeight="1" x14ac:dyDescent="0.3">
      <c r="B4" s="81" t="s">
        <v>244</v>
      </c>
      <c r="C4" s="82">
        <v>5</v>
      </c>
      <c r="E4" s="83" t="s">
        <v>245</v>
      </c>
      <c r="F4" s="83" t="s">
        <v>246</v>
      </c>
      <c r="G4" s="83" t="s">
        <v>247</v>
      </c>
      <c r="H4" s="83" t="s">
        <v>248</v>
      </c>
      <c r="I4" s="127" t="str">
        <f>IFERROR(CHOOSE(C4,"Janeiro","Fevereiro","Março","Abril","Maio","Junho","Julho","Agosto","Setembro","Outubro","Novembro","Dezembro"),"")</f>
        <v>Maio</v>
      </c>
    </row>
    <row r="5" spans="1:14" ht="20.25" customHeight="1" x14ac:dyDescent="0.3">
      <c r="B5" s="81" t="s">
        <v>249</v>
      </c>
      <c r="C5" s="84">
        <v>5</v>
      </c>
      <c r="E5" s="85"/>
      <c r="F5" s="85"/>
      <c r="G5" s="85" t="s">
        <v>107</v>
      </c>
      <c r="H5" s="86">
        <v>18</v>
      </c>
      <c r="I5" s="127"/>
    </row>
    <row r="6" spans="1:14" ht="20.25" customHeight="1" x14ac:dyDescent="0.3">
      <c r="B6" s="81" t="s">
        <v>250</v>
      </c>
      <c r="C6" s="84"/>
      <c r="E6" s="85"/>
      <c r="F6" s="85"/>
      <c r="G6" s="85" t="s">
        <v>109</v>
      </c>
      <c r="H6" s="86">
        <v>14</v>
      </c>
      <c r="I6" s="127"/>
    </row>
    <row r="7" spans="1:14" ht="20.25" customHeight="1" x14ac:dyDescent="0.3">
      <c r="B7" s="81" t="s">
        <v>251</v>
      </c>
      <c r="C7" s="84"/>
      <c r="E7" s="85"/>
      <c r="F7" s="85"/>
      <c r="G7" s="85" t="s">
        <v>111</v>
      </c>
      <c r="H7" s="86">
        <v>11</v>
      </c>
      <c r="I7" s="127"/>
    </row>
    <row r="8" spans="1:14" ht="7.5" customHeight="1" x14ac:dyDescent="0.3"/>
    <row r="9" spans="1:14" ht="24" customHeight="1" x14ac:dyDescent="0.3">
      <c r="A9" s="87" t="s">
        <v>252</v>
      </c>
      <c r="B9" s="87" t="s">
        <v>253</v>
      </c>
      <c r="C9" s="87" t="s">
        <v>254</v>
      </c>
      <c r="D9" s="128" t="s">
        <v>255</v>
      </c>
      <c r="E9" s="128"/>
      <c r="F9" s="87" t="s">
        <v>245</v>
      </c>
      <c r="G9" s="87" t="s">
        <v>247</v>
      </c>
      <c r="H9" s="87" t="s">
        <v>256</v>
      </c>
      <c r="I9" s="87" t="s">
        <v>257</v>
      </c>
      <c r="J9" s="87" t="s">
        <v>258</v>
      </c>
      <c r="K9" s="87" t="s">
        <v>209</v>
      </c>
      <c r="L9" s="88"/>
      <c r="M9" s="88"/>
      <c r="N9" s="88"/>
    </row>
    <row r="10" spans="1:14" ht="21" customHeight="1" x14ac:dyDescent="0.3">
      <c r="A10" s="89" t="str">
        <f t="shared" ref="A10:A41" si="0">IF(B10="","",IF(NOT(ISBLANK(B10)),IF(OR(WEEKDAY(DATE($C$3,$C$4,$B10))=1,WEEKDAY(DATE($C$3,$C$4,$B10))=2),1,0),""))</f>
        <v/>
      </c>
      <c r="B10" s="90"/>
      <c r="C10" s="90"/>
      <c r="D10" s="129"/>
      <c r="E10" s="129"/>
      <c r="F10" s="90" t="s">
        <v>106</v>
      </c>
      <c r="G10" s="90" t="s">
        <v>107</v>
      </c>
      <c r="H10" s="91"/>
      <c r="I10" s="91"/>
      <c r="J10" s="92">
        <v>18</v>
      </c>
      <c r="K10" s="93">
        <f t="shared" ref="K10:K41" si="1">IFERROR(H10*J10+I10*J10*1.5,"")</f>
        <v>0</v>
      </c>
    </row>
    <row r="11" spans="1:14" ht="21" customHeight="1" x14ac:dyDescent="0.3">
      <c r="A11" s="89" t="str">
        <f t="shared" si="0"/>
        <v/>
      </c>
      <c r="B11" s="90"/>
      <c r="C11" s="90"/>
      <c r="D11" s="129"/>
      <c r="E11" s="129"/>
      <c r="F11" s="90" t="s">
        <v>259</v>
      </c>
      <c r="G11" s="90" t="s">
        <v>109</v>
      </c>
      <c r="H11" s="91"/>
      <c r="I11" s="91"/>
      <c r="J11" s="92">
        <v>14</v>
      </c>
      <c r="K11" s="93">
        <f t="shared" si="1"/>
        <v>0</v>
      </c>
    </row>
    <row r="12" spans="1:14" ht="21" customHeight="1" x14ac:dyDescent="0.3">
      <c r="A12" s="89" t="str">
        <f t="shared" si="0"/>
        <v/>
      </c>
      <c r="B12" s="90"/>
      <c r="C12" s="90"/>
      <c r="D12" s="129"/>
      <c r="E12" s="129"/>
      <c r="F12" s="90" t="s">
        <v>110</v>
      </c>
      <c r="G12" s="90" t="s">
        <v>111</v>
      </c>
      <c r="H12" s="91"/>
      <c r="I12" s="91"/>
      <c r="J12" s="92">
        <v>11</v>
      </c>
      <c r="K12" s="93">
        <f t="shared" si="1"/>
        <v>0</v>
      </c>
    </row>
    <row r="13" spans="1:14" ht="21" customHeight="1" x14ac:dyDescent="0.3">
      <c r="A13" s="89" t="str">
        <f t="shared" si="0"/>
        <v/>
      </c>
      <c r="B13" s="90"/>
      <c r="C13" s="90"/>
      <c r="D13" s="129"/>
      <c r="E13" s="129"/>
      <c r="F13" s="90" t="s">
        <v>113</v>
      </c>
      <c r="G13" s="90" t="s">
        <v>114</v>
      </c>
      <c r="H13" s="91"/>
      <c r="I13" s="91"/>
      <c r="J13" s="92">
        <v>16.5</v>
      </c>
      <c r="K13" s="93">
        <f t="shared" si="1"/>
        <v>0</v>
      </c>
    </row>
    <row r="14" spans="1:14" ht="21" customHeight="1" x14ac:dyDescent="0.3">
      <c r="A14" s="89" t="str">
        <f t="shared" si="0"/>
        <v/>
      </c>
      <c r="B14" s="90"/>
      <c r="C14" s="90"/>
      <c r="D14" s="129"/>
      <c r="E14" s="129"/>
      <c r="F14" s="90" t="s">
        <v>118</v>
      </c>
      <c r="G14" s="90" t="s">
        <v>119</v>
      </c>
      <c r="H14" s="91"/>
      <c r="I14" s="91"/>
      <c r="J14" s="92">
        <v>13</v>
      </c>
      <c r="K14" s="93">
        <f t="shared" si="1"/>
        <v>0</v>
      </c>
    </row>
    <row r="15" spans="1:14" ht="21" customHeight="1" x14ac:dyDescent="0.3">
      <c r="A15" s="89" t="str">
        <f t="shared" si="0"/>
        <v/>
      </c>
      <c r="B15" s="90"/>
      <c r="C15" s="90"/>
      <c r="D15" s="129"/>
      <c r="E15" s="129"/>
      <c r="F15" s="90"/>
      <c r="G15" s="90"/>
      <c r="H15" s="91"/>
      <c r="I15" s="91"/>
      <c r="J15" s="92"/>
      <c r="K15" s="93">
        <f t="shared" si="1"/>
        <v>0</v>
      </c>
    </row>
    <row r="16" spans="1:14" ht="21" customHeight="1" x14ac:dyDescent="0.3">
      <c r="A16" s="89" t="str">
        <f t="shared" si="0"/>
        <v/>
      </c>
      <c r="B16" s="90"/>
      <c r="C16" s="90"/>
      <c r="D16" s="129"/>
      <c r="E16" s="129"/>
      <c r="F16" s="90"/>
      <c r="G16" s="90"/>
      <c r="H16" s="91"/>
      <c r="I16" s="91"/>
      <c r="J16" s="92"/>
      <c r="K16" s="93">
        <f t="shared" si="1"/>
        <v>0</v>
      </c>
    </row>
    <row r="17" spans="1:11" ht="21" customHeight="1" x14ac:dyDescent="0.3">
      <c r="A17" s="89" t="str">
        <f t="shared" si="0"/>
        <v/>
      </c>
      <c r="B17" s="90"/>
      <c r="C17" s="90"/>
      <c r="D17" s="129"/>
      <c r="E17" s="129"/>
      <c r="F17" s="90"/>
      <c r="G17" s="90"/>
      <c r="H17" s="91"/>
      <c r="I17" s="91"/>
      <c r="J17" s="92"/>
      <c r="K17" s="93">
        <f t="shared" si="1"/>
        <v>0</v>
      </c>
    </row>
    <row r="18" spans="1:11" ht="21" customHeight="1" x14ac:dyDescent="0.3">
      <c r="A18" s="89" t="str">
        <f t="shared" si="0"/>
        <v/>
      </c>
      <c r="B18" s="90"/>
      <c r="C18" s="90"/>
      <c r="D18" s="129"/>
      <c r="E18" s="129"/>
      <c r="F18" s="90"/>
      <c r="G18" s="90"/>
      <c r="H18" s="91"/>
      <c r="I18" s="91"/>
      <c r="J18" s="92"/>
      <c r="K18" s="93">
        <f t="shared" si="1"/>
        <v>0</v>
      </c>
    </row>
    <row r="19" spans="1:11" ht="21" customHeight="1" x14ac:dyDescent="0.3">
      <c r="A19" s="89" t="str">
        <f t="shared" si="0"/>
        <v/>
      </c>
      <c r="B19" s="90"/>
      <c r="C19" s="90"/>
      <c r="D19" s="129"/>
      <c r="E19" s="129"/>
      <c r="F19" s="90"/>
      <c r="G19" s="90"/>
      <c r="H19" s="91"/>
      <c r="I19" s="91"/>
      <c r="J19" s="92"/>
      <c r="K19" s="93">
        <f t="shared" si="1"/>
        <v>0</v>
      </c>
    </row>
    <row r="20" spans="1:11" ht="21" customHeight="1" x14ac:dyDescent="0.3">
      <c r="A20" s="89" t="str">
        <f t="shared" si="0"/>
        <v/>
      </c>
      <c r="B20" s="90"/>
      <c r="C20" s="90"/>
      <c r="D20" s="129"/>
      <c r="E20" s="129"/>
      <c r="F20" s="90"/>
      <c r="G20" s="90"/>
      <c r="H20" s="91"/>
      <c r="I20" s="91"/>
      <c r="J20" s="92"/>
      <c r="K20" s="93">
        <f t="shared" si="1"/>
        <v>0</v>
      </c>
    </row>
    <row r="21" spans="1:11" ht="21" customHeight="1" x14ac:dyDescent="0.3">
      <c r="A21" s="89" t="str">
        <f t="shared" si="0"/>
        <v/>
      </c>
      <c r="B21" s="90"/>
      <c r="C21" s="90"/>
      <c r="D21" s="129"/>
      <c r="E21" s="129"/>
      <c r="F21" s="90"/>
      <c r="G21" s="90"/>
      <c r="H21" s="91"/>
      <c r="I21" s="91"/>
      <c r="J21" s="92"/>
      <c r="K21" s="93">
        <f t="shared" si="1"/>
        <v>0</v>
      </c>
    </row>
    <row r="22" spans="1:11" ht="21" customHeight="1" x14ac:dyDescent="0.3">
      <c r="A22" s="89" t="str">
        <f t="shared" si="0"/>
        <v/>
      </c>
      <c r="B22" s="90"/>
      <c r="C22" s="90"/>
      <c r="D22" s="129"/>
      <c r="E22" s="129"/>
      <c r="F22" s="90"/>
      <c r="G22" s="90"/>
      <c r="H22" s="91"/>
      <c r="I22" s="91"/>
      <c r="J22" s="92"/>
      <c r="K22" s="93">
        <f t="shared" si="1"/>
        <v>0</v>
      </c>
    </row>
    <row r="23" spans="1:11" ht="21" customHeight="1" x14ac:dyDescent="0.3">
      <c r="A23" s="89" t="str">
        <f t="shared" si="0"/>
        <v/>
      </c>
      <c r="B23" s="90"/>
      <c r="C23" s="90"/>
      <c r="D23" s="129"/>
      <c r="E23" s="129"/>
      <c r="F23" s="90"/>
      <c r="G23" s="90"/>
      <c r="H23" s="91"/>
      <c r="I23" s="91"/>
      <c r="J23" s="92"/>
      <c r="K23" s="93">
        <f t="shared" si="1"/>
        <v>0</v>
      </c>
    </row>
    <row r="24" spans="1:11" ht="21" customHeight="1" x14ac:dyDescent="0.3">
      <c r="A24" s="89" t="str">
        <f t="shared" si="0"/>
        <v/>
      </c>
      <c r="B24" s="90"/>
      <c r="C24" s="90"/>
      <c r="D24" s="129"/>
      <c r="E24" s="129"/>
      <c r="F24" s="90"/>
      <c r="G24" s="90"/>
      <c r="H24" s="91"/>
      <c r="I24" s="91"/>
      <c r="J24" s="92"/>
      <c r="K24" s="93">
        <f t="shared" si="1"/>
        <v>0</v>
      </c>
    </row>
    <row r="25" spans="1:11" ht="21" customHeight="1" x14ac:dyDescent="0.3">
      <c r="A25" s="89" t="str">
        <f t="shared" si="0"/>
        <v/>
      </c>
      <c r="B25" s="90"/>
      <c r="C25" s="90"/>
      <c r="D25" s="129"/>
      <c r="E25" s="129"/>
      <c r="F25" s="90"/>
      <c r="G25" s="90"/>
      <c r="H25" s="91"/>
      <c r="I25" s="91"/>
      <c r="J25" s="92"/>
      <c r="K25" s="93">
        <f t="shared" si="1"/>
        <v>0</v>
      </c>
    </row>
    <row r="26" spans="1:11" ht="21" customHeight="1" x14ac:dyDescent="0.3">
      <c r="A26" s="89" t="str">
        <f t="shared" si="0"/>
        <v/>
      </c>
      <c r="B26" s="90"/>
      <c r="C26" s="90"/>
      <c r="D26" s="129"/>
      <c r="E26" s="129"/>
      <c r="F26" s="90"/>
      <c r="G26" s="90"/>
      <c r="H26" s="91"/>
      <c r="I26" s="91"/>
      <c r="J26" s="92"/>
      <c r="K26" s="93">
        <f t="shared" si="1"/>
        <v>0</v>
      </c>
    </row>
    <row r="27" spans="1:11" ht="21" customHeight="1" x14ac:dyDescent="0.3">
      <c r="A27" s="89" t="str">
        <f t="shared" si="0"/>
        <v/>
      </c>
      <c r="B27" s="90"/>
      <c r="C27" s="90"/>
      <c r="D27" s="129"/>
      <c r="E27" s="129"/>
      <c r="F27" s="90"/>
      <c r="G27" s="90"/>
      <c r="H27" s="91"/>
      <c r="I27" s="91"/>
      <c r="J27" s="92"/>
      <c r="K27" s="93">
        <f t="shared" si="1"/>
        <v>0</v>
      </c>
    </row>
    <row r="28" spans="1:11" ht="21" customHeight="1" x14ac:dyDescent="0.3">
      <c r="A28" s="89" t="str">
        <f t="shared" si="0"/>
        <v/>
      </c>
      <c r="B28" s="90"/>
      <c r="C28" s="90"/>
      <c r="D28" s="129"/>
      <c r="E28" s="129"/>
      <c r="F28" s="90"/>
      <c r="G28" s="90"/>
      <c r="H28" s="91"/>
      <c r="I28" s="91"/>
      <c r="J28" s="92"/>
      <c r="K28" s="93">
        <f t="shared" si="1"/>
        <v>0</v>
      </c>
    </row>
    <row r="29" spans="1:11" ht="21" customHeight="1" x14ac:dyDescent="0.3">
      <c r="A29" s="89" t="str">
        <f t="shared" si="0"/>
        <v/>
      </c>
      <c r="B29" s="90"/>
      <c r="C29" s="90"/>
      <c r="D29" s="129"/>
      <c r="E29" s="129"/>
      <c r="F29" s="90"/>
      <c r="G29" s="90"/>
      <c r="H29" s="91"/>
      <c r="I29" s="91"/>
      <c r="J29" s="92"/>
      <c r="K29" s="93">
        <f t="shared" si="1"/>
        <v>0</v>
      </c>
    </row>
    <row r="30" spans="1:11" ht="21" customHeight="1" x14ac:dyDescent="0.3">
      <c r="A30" s="89" t="str">
        <f t="shared" si="0"/>
        <v/>
      </c>
      <c r="B30" s="90"/>
      <c r="C30" s="90"/>
      <c r="D30" s="129"/>
      <c r="E30" s="129"/>
      <c r="F30" s="90"/>
      <c r="G30" s="90"/>
      <c r="H30" s="91"/>
      <c r="I30" s="91"/>
      <c r="J30" s="92"/>
      <c r="K30" s="93">
        <f t="shared" si="1"/>
        <v>0</v>
      </c>
    </row>
    <row r="31" spans="1:11" ht="21" customHeight="1" x14ac:dyDescent="0.3">
      <c r="A31" s="89" t="str">
        <f t="shared" si="0"/>
        <v/>
      </c>
      <c r="B31" s="90"/>
      <c r="C31" s="90"/>
      <c r="D31" s="129"/>
      <c r="E31" s="129"/>
      <c r="F31" s="90"/>
      <c r="G31" s="90"/>
      <c r="H31" s="91"/>
      <c r="I31" s="91"/>
      <c r="J31" s="92"/>
      <c r="K31" s="93">
        <f t="shared" si="1"/>
        <v>0</v>
      </c>
    </row>
    <row r="32" spans="1:11" ht="21" customHeight="1" x14ac:dyDescent="0.3">
      <c r="A32" s="89" t="str">
        <f t="shared" si="0"/>
        <v/>
      </c>
      <c r="B32" s="90"/>
      <c r="C32" s="90"/>
      <c r="D32" s="129"/>
      <c r="E32" s="129"/>
      <c r="F32" s="90"/>
      <c r="G32" s="90"/>
      <c r="H32" s="91"/>
      <c r="I32" s="91"/>
      <c r="J32" s="92"/>
      <c r="K32" s="93">
        <f t="shared" si="1"/>
        <v>0</v>
      </c>
    </row>
    <row r="33" spans="1:11" ht="21" customHeight="1" x14ac:dyDescent="0.3">
      <c r="A33" s="89" t="str">
        <f t="shared" si="0"/>
        <v/>
      </c>
      <c r="B33" s="90"/>
      <c r="C33" s="90"/>
      <c r="D33" s="129"/>
      <c r="E33" s="129"/>
      <c r="F33" s="90"/>
      <c r="G33" s="90"/>
      <c r="H33" s="91"/>
      <c r="I33" s="91"/>
      <c r="J33" s="92"/>
      <c r="K33" s="93">
        <f t="shared" si="1"/>
        <v>0</v>
      </c>
    </row>
    <row r="34" spans="1:11" ht="21" customHeight="1" x14ac:dyDescent="0.3">
      <c r="A34" s="89" t="str">
        <f t="shared" si="0"/>
        <v/>
      </c>
      <c r="B34" s="90"/>
      <c r="C34" s="90"/>
      <c r="D34" s="129"/>
      <c r="E34" s="129"/>
      <c r="F34" s="90"/>
      <c r="G34" s="90"/>
      <c r="H34" s="91"/>
      <c r="I34" s="91"/>
      <c r="J34" s="92"/>
      <c r="K34" s="93">
        <f t="shared" si="1"/>
        <v>0</v>
      </c>
    </row>
    <row r="35" spans="1:11" ht="21" customHeight="1" x14ac:dyDescent="0.3">
      <c r="A35" s="89" t="str">
        <f t="shared" si="0"/>
        <v/>
      </c>
      <c r="B35" s="90"/>
      <c r="C35" s="90"/>
      <c r="D35" s="129"/>
      <c r="E35" s="129"/>
      <c r="F35" s="90"/>
      <c r="G35" s="90"/>
      <c r="H35" s="91"/>
      <c r="I35" s="91"/>
      <c r="J35" s="92"/>
      <c r="K35" s="93">
        <f t="shared" si="1"/>
        <v>0</v>
      </c>
    </row>
    <row r="36" spans="1:11" ht="21" customHeight="1" x14ac:dyDescent="0.3">
      <c r="A36" s="89" t="str">
        <f t="shared" si="0"/>
        <v/>
      </c>
      <c r="B36" s="90"/>
      <c r="C36" s="90"/>
      <c r="D36" s="129"/>
      <c r="E36" s="129"/>
      <c r="F36" s="90"/>
      <c r="G36" s="90"/>
      <c r="H36" s="91"/>
      <c r="I36" s="91"/>
      <c r="J36" s="92"/>
      <c r="K36" s="93">
        <f t="shared" si="1"/>
        <v>0</v>
      </c>
    </row>
    <row r="37" spans="1:11" ht="21" customHeight="1" x14ac:dyDescent="0.3">
      <c r="A37" s="89" t="str">
        <f t="shared" si="0"/>
        <v/>
      </c>
      <c r="B37" s="90"/>
      <c r="C37" s="90"/>
      <c r="D37" s="129"/>
      <c r="E37" s="129"/>
      <c r="F37" s="90"/>
      <c r="G37" s="90"/>
      <c r="H37" s="91"/>
      <c r="I37" s="91"/>
      <c r="J37" s="92"/>
      <c r="K37" s="93">
        <f t="shared" si="1"/>
        <v>0</v>
      </c>
    </row>
    <row r="38" spans="1:11" ht="21" customHeight="1" x14ac:dyDescent="0.3">
      <c r="A38" s="89" t="str">
        <f t="shared" si="0"/>
        <v/>
      </c>
      <c r="B38" s="90"/>
      <c r="C38" s="90"/>
      <c r="D38" s="129"/>
      <c r="E38" s="129"/>
      <c r="F38" s="90"/>
      <c r="G38" s="90"/>
      <c r="H38" s="91"/>
      <c r="I38" s="91"/>
      <c r="J38" s="92"/>
      <c r="K38" s="93">
        <f t="shared" si="1"/>
        <v>0</v>
      </c>
    </row>
    <row r="39" spans="1:11" ht="21" customHeight="1" x14ac:dyDescent="0.3">
      <c r="A39" s="89" t="str">
        <f t="shared" si="0"/>
        <v/>
      </c>
      <c r="B39" s="90"/>
      <c r="C39" s="90"/>
      <c r="D39" s="129"/>
      <c r="E39" s="129"/>
      <c r="F39" s="90"/>
      <c r="G39" s="90"/>
      <c r="H39" s="91"/>
      <c r="I39" s="91"/>
      <c r="J39" s="92"/>
      <c r="K39" s="93">
        <f t="shared" si="1"/>
        <v>0</v>
      </c>
    </row>
    <row r="40" spans="1:11" ht="21" customHeight="1" x14ac:dyDescent="0.3">
      <c r="A40" s="89" t="str">
        <f t="shared" si="0"/>
        <v/>
      </c>
      <c r="B40" s="90"/>
      <c r="C40" s="90"/>
      <c r="D40" s="129"/>
      <c r="E40" s="129"/>
      <c r="F40" s="90"/>
      <c r="G40" s="90"/>
      <c r="H40" s="91"/>
      <c r="I40" s="91"/>
      <c r="J40" s="92"/>
      <c r="K40" s="93">
        <f t="shared" si="1"/>
        <v>0</v>
      </c>
    </row>
    <row r="41" spans="1:11" ht="21" customHeight="1" x14ac:dyDescent="0.3">
      <c r="A41" s="89" t="str">
        <f t="shared" si="0"/>
        <v/>
      </c>
      <c r="B41" s="90"/>
      <c r="C41" s="90"/>
      <c r="D41" s="129"/>
      <c r="E41" s="129"/>
      <c r="F41" s="90"/>
      <c r="G41" s="90"/>
      <c r="H41" s="91"/>
      <c r="I41" s="91"/>
      <c r="J41" s="92"/>
      <c r="K41" s="93">
        <f t="shared" si="1"/>
        <v>0</v>
      </c>
    </row>
    <row r="42" spans="1:11" ht="21" customHeight="1" x14ac:dyDescent="0.3">
      <c r="A42" s="89" t="str">
        <f t="shared" ref="A42:A73" si="2">IF(B42="","",IF(NOT(ISBLANK(B42)),IF(OR(WEEKDAY(DATE($C$3,$C$4,$B42))=1,WEEKDAY(DATE($C$3,$C$4,$B42))=2),1,0),""))</f>
        <v/>
      </c>
      <c r="B42" s="90"/>
      <c r="C42" s="90"/>
      <c r="D42" s="129"/>
      <c r="E42" s="129"/>
      <c r="F42" s="90"/>
      <c r="G42" s="90"/>
      <c r="H42" s="91"/>
      <c r="I42" s="91"/>
      <c r="J42" s="92"/>
      <c r="K42" s="93">
        <f t="shared" ref="K42:K73" si="3">IFERROR(H42*J42+I42*J42*1.5,"")</f>
        <v>0</v>
      </c>
    </row>
    <row r="43" spans="1:11" ht="21" customHeight="1" x14ac:dyDescent="0.3">
      <c r="A43" s="89" t="str">
        <f t="shared" si="2"/>
        <v/>
      </c>
      <c r="B43" s="90"/>
      <c r="C43" s="90"/>
      <c r="D43" s="129"/>
      <c r="E43" s="129"/>
      <c r="F43" s="90"/>
      <c r="G43" s="90"/>
      <c r="H43" s="91"/>
      <c r="I43" s="91"/>
      <c r="J43" s="92"/>
      <c r="K43" s="93">
        <f t="shared" si="3"/>
        <v>0</v>
      </c>
    </row>
    <row r="44" spans="1:11" ht="21" customHeight="1" x14ac:dyDescent="0.3">
      <c r="A44" s="89" t="str">
        <f t="shared" si="2"/>
        <v/>
      </c>
      <c r="B44" s="90"/>
      <c r="C44" s="90"/>
      <c r="D44" s="129"/>
      <c r="E44" s="129"/>
      <c r="F44" s="90"/>
      <c r="G44" s="90"/>
      <c r="H44" s="91"/>
      <c r="I44" s="91"/>
      <c r="J44" s="92"/>
      <c r="K44" s="93">
        <f t="shared" si="3"/>
        <v>0</v>
      </c>
    </row>
    <row r="45" spans="1:11" ht="21" customHeight="1" x14ac:dyDescent="0.3">
      <c r="A45" s="89" t="str">
        <f t="shared" si="2"/>
        <v/>
      </c>
      <c r="B45" s="90"/>
      <c r="C45" s="90"/>
      <c r="D45" s="129"/>
      <c r="E45" s="129"/>
      <c r="F45" s="90"/>
      <c r="G45" s="90"/>
      <c r="H45" s="91"/>
      <c r="I45" s="91"/>
      <c r="J45" s="92"/>
      <c r="K45" s="93">
        <f t="shared" si="3"/>
        <v>0</v>
      </c>
    </row>
    <row r="46" spans="1:11" ht="21" customHeight="1" x14ac:dyDescent="0.3">
      <c r="A46" s="89" t="str">
        <f t="shared" si="2"/>
        <v/>
      </c>
      <c r="B46" s="90"/>
      <c r="C46" s="90"/>
      <c r="D46" s="129"/>
      <c r="E46" s="129"/>
      <c r="F46" s="90"/>
      <c r="G46" s="90"/>
      <c r="H46" s="91"/>
      <c r="I46" s="91"/>
      <c r="J46" s="92"/>
      <c r="K46" s="93">
        <f t="shared" si="3"/>
        <v>0</v>
      </c>
    </row>
    <row r="47" spans="1:11" ht="21" customHeight="1" x14ac:dyDescent="0.3">
      <c r="A47" s="89" t="str">
        <f t="shared" si="2"/>
        <v/>
      </c>
      <c r="B47" s="90"/>
      <c r="C47" s="90"/>
      <c r="D47" s="129"/>
      <c r="E47" s="129"/>
      <c r="F47" s="90"/>
      <c r="G47" s="90"/>
      <c r="H47" s="91"/>
      <c r="I47" s="91"/>
      <c r="J47" s="92"/>
      <c r="K47" s="93">
        <f t="shared" si="3"/>
        <v>0</v>
      </c>
    </row>
    <row r="48" spans="1:11" ht="21" customHeight="1" x14ac:dyDescent="0.3">
      <c r="A48" s="89" t="str">
        <f t="shared" si="2"/>
        <v/>
      </c>
      <c r="B48" s="90"/>
      <c r="C48" s="90"/>
      <c r="D48" s="129"/>
      <c r="E48" s="129"/>
      <c r="F48" s="90"/>
      <c r="G48" s="90"/>
      <c r="H48" s="91"/>
      <c r="I48" s="91"/>
      <c r="J48" s="92"/>
      <c r="K48" s="93">
        <f t="shared" si="3"/>
        <v>0</v>
      </c>
    </row>
    <row r="49" spans="1:11" ht="21" customHeight="1" x14ac:dyDescent="0.3">
      <c r="A49" s="89" t="str">
        <f t="shared" si="2"/>
        <v/>
      </c>
      <c r="B49" s="90"/>
      <c r="C49" s="90"/>
      <c r="D49" s="129"/>
      <c r="E49" s="129"/>
      <c r="F49" s="90"/>
      <c r="G49" s="90"/>
      <c r="H49" s="91"/>
      <c r="I49" s="91"/>
      <c r="J49" s="92"/>
      <c r="K49" s="93">
        <f t="shared" si="3"/>
        <v>0</v>
      </c>
    </row>
    <row r="50" spans="1:11" ht="21" customHeight="1" x14ac:dyDescent="0.3">
      <c r="A50" s="89" t="str">
        <f t="shared" si="2"/>
        <v/>
      </c>
      <c r="B50" s="90"/>
      <c r="C50" s="90"/>
      <c r="D50" s="129"/>
      <c r="E50" s="129"/>
      <c r="F50" s="90"/>
      <c r="G50" s="90"/>
      <c r="H50" s="91"/>
      <c r="I50" s="91"/>
      <c r="J50" s="92"/>
      <c r="K50" s="93">
        <f t="shared" si="3"/>
        <v>0</v>
      </c>
    </row>
    <row r="51" spans="1:11" ht="21" customHeight="1" x14ac:dyDescent="0.3">
      <c r="A51" s="89" t="str">
        <f t="shared" si="2"/>
        <v/>
      </c>
      <c r="B51" s="90"/>
      <c r="C51" s="90"/>
      <c r="D51" s="129"/>
      <c r="E51" s="129"/>
      <c r="F51" s="90"/>
      <c r="G51" s="90"/>
      <c r="H51" s="91"/>
      <c r="I51" s="91"/>
      <c r="J51" s="92"/>
      <c r="K51" s="93">
        <f t="shared" si="3"/>
        <v>0</v>
      </c>
    </row>
    <row r="52" spans="1:11" ht="21" customHeight="1" x14ac:dyDescent="0.3">
      <c r="A52" s="89" t="str">
        <f t="shared" si="2"/>
        <v/>
      </c>
      <c r="B52" s="90"/>
      <c r="C52" s="90"/>
      <c r="D52" s="129"/>
      <c r="E52" s="129"/>
      <c r="F52" s="90"/>
      <c r="G52" s="90"/>
      <c r="H52" s="91"/>
      <c r="I52" s="91"/>
      <c r="J52" s="92"/>
      <c r="K52" s="93">
        <f t="shared" si="3"/>
        <v>0</v>
      </c>
    </row>
    <row r="53" spans="1:11" ht="21" customHeight="1" x14ac:dyDescent="0.3">
      <c r="A53" s="89" t="str">
        <f t="shared" si="2"/>
        <v/>
      </c>
      <c r="B53" s="90"/>
      <c r="C53" s="90"/>
      <c r="D53" s="129"/>
      <c r="E53" s="129"/>
      <c r="F53" s="90"/>
      <c r="G53" s="90"/>
      <c r="H53" s="91"/>
      <c r="I53" s="91"/>
      <c r="J53" s="92"/>
      <c r="K53" s="93">
        <f t="shared" si="3"/>
        <v>0</v>
      </c>
    </row>
    <row r="54" spans="1:11" ht="21" customHeight="1" x14ac:dyDescent="0.3">
      <c r="A54" s="89" t="str">
        <f t="shared" si="2"/>
        <v/>
      </c>
      <c r="B54" s="90"/>
      <c r="C54" s="90"/>
      <c r="D54" s="129"/>
      <c r="E54" s="129"/>
      <c r="F54" s="90"/>
      <c r="G54" s="90"/>
      <c r="H54" s="91"/>
      <c r="I54" s="91"/>
      <c r="J54" s="92"/>
      <c r="K54" s="93">
        <f t="shared" si="3"/>
        <v>0</v>
      </c>
    </row>
    <row r="55" spans="1:11" ht="21" customHeight="1" x14ac:dyDescent="0.3">
      <c r="A55" s="89" t="str">
        <f t="shared" si="2"/>
        <v/>
      </c>
      <c r="B55" s="90"/>
      <c r="C55" s="90"/>
      <c r="D55" s="129"/>
      <c r="E55" s="129"/>
      <c r="F55" s="90"/>
      <c r="G55" s="90"/>
      <c r="H55" s="91"/>
      <c r="I55" s="91"/>
      <c r="J55" s="92"/>
      <c r="K55" s="93">
        <f t="shared" si="3"/>
        <v>0</v>
      </c>
    </row>
    <row r="56" spans="1:11" ht="21" customHeight="1" x14ac:dyDescent="0.3">
      <c r="A56" s="89" t="str">
        <f t="shared" si="2"/>
        <v/>
      </c>
      <c r="B56" s="90"/>
      <c r="C56" s="90"/>
      <c r="D56" s="129"/>
      <c r="E56" s="129"/>
      <c r="F56" s="90"/>
      <c r="G56" s="90"/>
      <c r="H56" s="91"/>
      <c r="I56" s="91"/>
      <c r="J56" s="92"/>
      <c r="K56" s="93">
        <f t="shared" si="3"/>
        <v>0</v>
      </c>
    </row>
    <row r="57" spans="1:11" ht="21" customHeight="1" x14ac:dyDescent="0.3">
      <c r="A57" s="89" t="str">
        <f t="shared" si="2"/>
        <v/>
      </c>
      <c r="B57" s="90"/>
      <c r="C57" s="90"/>
      <c r="D57" s="129"/>
      <c r="E57" s="129"/>
      <c r="F57" s="90"/>
      <c r="G57" s="90"/>
      <c r="H57" s="91"/>
      <c r="I57" s="91"/>
      <c r="J57" s="92"/>
      <c r="K57" s="93">
        <f t="shared" si="3"/>
        <v>0</v>
      </c>
    </row>
    <row r="58" spans="1:11" ht="21" customHeight="1" x14ac:dyDescent="0.3">
      <c r="A58" s="89" t="str">
        <f t="shared" si="2"/>
        <v/>
      </c>
      <c r="B58" s="90"/>
      <c r="C58" s="90"/>
      <c r="D58" s="129"/>
      <c r="E58" s="129"/>
      <c r="F58" s="90"/>
      <c r="G58" s="90"/>
      <c r="H58" s="91"/>
      <c r="I58" s="91"/>
      <c r="J58" s="92"/>
      <c r="K58" s="93">
        <f t="shared" si="3"/>
        <v>0</v>
      </c>
    </row>
    <row r="59" spans="1:11" ht="21" customHeight="1" x14ac:dyDescent="0.3">
      <c r="A59" s="89" t="str">
        <f t="shared" si="2"/>
        <v/>
      </c>
      <c r="B59" s="90"/>
      <c r="C59" s="90"/>
      <c r="D59" s="129"/>
      <c r="E59" s="129"/>
      <c r="F59" s="90"/>
      <c r="G59" s="90"/>
      <c r="H59" s="91"/>
      <c r="I59" s="91"/>
      <c r="J59" s="92"/>
      <c r="K59" s="93">
        <f t="shared" si="3"/>
        <v>0</v>
      </c>
    </row>
    <row r="60" spans="1:11" ht="21" customHeight="1" x14ac:dyDescent="0.3">
      <c r="A60" s="89" t="str">
        <f t="shared" si="2"/>
        <v/>
      </c>
      <c r="B60" s="90"/>
      <c r="C60" s="90"/>
      <c r="D60" s="129"/>
      <c r="E60" s="129"/>
      <c r="F60" s="90"/>
      <c r="G60" s="90"/>
      <c r="H60" s="91"/>
      <c r="I60" s="91"/>
      <c r="J60" s="92"/>
      <c r="K60" s="93">
        <f t="shared" si="3"/>
        <v>0</v>
      </c>
    </row>
    <row r="61" spans="1:11" ht="21" customHeight="1" x14ac:dyDescent="0.3">
      <c r="A61" s="89" t="str">
        <f t="shared" si="2"/>
        <v/>
      </c>
      <c r="B61" s="90"/>
      <c r="C61" s="90"/>
      <c r="D61" s="129"/>
      <c r="E61" s="129"/>
      <c r="F61" s="90"/>
      <c r="G61" s="90"/>
      <c r="H61" s="91"/>
      <c r="I61" s="91"/>
      <c r="J61" s="92"/>
      <c r="K61" s="93">
        <f t="shared" si="3"/>
        <v>0</v>
      </c>
    </row>
    <row r="62" spans="1:11" ht="21" customHeight="1" x14ac:dyDescent="0.3">
      <c r="A62" s="89" t="str">
        <f t="shared" si="2"/>
        <v/>
      </c>
      <c r="B62" s="90"/>
      <c r="C62" s="90"/>
      <c r="D62" s="129"/>
      <c r="E62" s="129"/>
      <c r="F62" s="90"/>
      <c r="G62" s="90"/>
      <c r="H62" s="91"/>
      <c r="I62" s="91"/>
      <c r="J62" s="92"/>
      <c r="K62" s="93">
        <f t="shared" si="3"/>
        <v>0</v>
      </c>
    </row>
    <row r="63" spans="1:11" ht="21" customHeight="1" x14ac:dyDescent="0.3">
      <c r="A63" s="89" t="str">
        <f t="shared" si="2"/>
        <v/>
      </c>
      <c r="B63" s="90"/>
      <c r="C63" s="90"/>
      <c r="D63" s="129"/>
      <c r="E63" s="129"/>
      <c r="F63" s="90"/>
      <c r="G63" s="90"/>
      <c r="H63" s="91"/>
      <c r="I63" s="91"/>
      <c r="J63" s="92"/>
      <c r="K63" s="93">
        <f t="shared" si="3"/>
        <v>0</v>
      </c>
    </row>
    <row r="64" spans="1:11" ht="21" customHeight="1" x14ac:dyDescent="0.3">
      <c r="A64" s="89" t="str">
        <f t="shared" si="2"/>
        <v/>
      </c>
      <c r="B64" s="90"/>
      <c r="C64" s="90"/>
      <c r="D64" s="129"/>
      <c r="E64" s="129"/>
      <c r="F64" s="90"/>
      <c r="G64" s="90"/>
      <c r="H64" s="91"/>
      <c r="I64" s="91"/>
      <c r="J64" s="92"/>
      <c r="K64" s="93">
        <f t="shared" si="3"/>
        <v>0</v>
      </c>
    </row>
    <row r="65" spans="1:11" ht="21" customHeight="1" x14ac:dyDescent="0.3">
      <c r="A65" s="89" t="str">
        <f t="shared" si="2"/>
        <v/>
      </c>
      <c r="B65" s="90"/>
      <c r="C65" s="90"/>
      <c r="D65" s="129"/>
      <c r="E65" s="129"/>
      <c r="F65" s="90"/>
      <c r="G65" s="90"/>
      <c r="H65" s="91"/>
      <c r="I65" s="91"/>
      <c r="J65" s="92"/>
      <c r="K65" s="93">
        <f t="shared" si="3"/>
        <v>0</v>
      </c>
    </row>
    <row r="66" spans="1:11" ht="21" customHeight="1" x14ac:dyDescent="0.3">
      <c r="A66" s="89" t="str">
        <f t="shared" si="2"/>
        <v/>
      </c>
      <c r="B66" s="90"/>
      <c r="C66" s="90"/>
      <c r="D66" s="129"/>
      <c r="E66" s="129"/>
      <c r="F66" s="90"/>
      <c r="G66" s="90"/>
      <c r="H66" s="91"/>
      <c r="I66" s="91"/>
      <c r="J66" s="92"/>
      <c r="K66" s="93">
        <f t="shared" si="3"/>
        <v>0</v>
      </c>
    </row>
    <row r="67" spans="1:11" ht="21" customHeight="1" x14ac:dyDescent="0.3">
      <c r="A67" s="89" t="str">
        <f t="shared" si="2"/>
        <v/>
      </c>
      <c r="B67" s="90"/>
      <c r="C67" s="90"/>
      <c r="D67" s="129"/>
      <c r="E67" s="129"/>
      <c r="F67" s="90"/>
      <c r="G67" s="90"/>
      <c r="H67" s="91"/>
      <c r="I67" s="91"/>
      <c r="J67" s="92"/>
      <c r="K67" s="93">
        <f t="shared" si="3"/>
        <v>0</v>
      </c>
    </row>
    <row r="68" spans="1:11" ht="21" customHeight="1" x14ac:dyDescent="0.3">
      <c r="A68" s="89" t="str">
        <f t="shared" si="2"/>
        <v/>
      </c>
      <c r="B68" s="90"/>
      <c r="C68" s="90"/>
      <c r="D68" s="129"/>
      <c r="E68" s="129"/>
      <c r="F68" s="90"/>
      <c r="G68" s="90"/>
      <c r="H68" s="91"/>
      <c r="I68" s="91"/>
      <c r="J68" s="92"/>
      <c r="K68" s="93">
        <f t="shared" si="3"/>
        <v>0</v>
      </c>
    </row>
    <row r="69" spans="1:11" ht="21" customHeight="1" x14ac:dyDescent="0.3">
      <c r="A69" s="89" t="str">
        <f t="shared" si="2"/>
        <v/>
      </c>
      <c r="B69" s="90"/>
      <c r="C69" s="90"/>
      <c r="D69" s="129"/>
      <c r="E69" s="129"/>
      <c r="F69" s="90"/>
      <c r="G69" s="90"/>
      <c r="H69" s="91"/>
      <c r="I69" s="91"/>
      <c r="J69" s="92"/>
      <c r="K69" s="93">
        <f t="shared" si="3"/>
        <v>0</v>
      </c>
    </row>
    <row r="70" spans="1:11" ht="21" customHeight="1" x14ac:dyDescent="0.3">
      <c r="A70" s="89" t="str">
        <f t="shared" si="2"/>
        <v/>
      </c>
      <c r="B70" s="90"/>
      <c r="C70" s="90"/>
      <c r="D70" s="129"/>
      <c r="E70" s="129"/>
      <c r="F70" s="90"/>
      <c r="G70" s="90"/>
      <c r="H70" s="91"/>
      <c r="I70" s="91"/>
      <c r="J70" s="92"/>
      <c r="K70" s="93">
        <f t="shared" si="3"/>
        <v>0</v>
      </c>
    </row>
    <row r="71" spans="1:11" ht="21" customHeight="1" x14ac:dyDescent="0.3">
      <c r="A71" s="89" t="str">
        <f t="shared" si="2"/>
        <v/>
      </c>
      <c r="B71" s="90"/>
      <c r="C71" s="90"/>
      <c r="D71" s="129"/>
      <c r="E71" s="129"/>
      <c r="F71" s="90"/>
      <c r="G71" s="90"/>
      <c r="H71" s="91"/>
      <c r="I71" s="91"/>
      <c r="J71" s="92"/>
      <c r="K71" s="93">
        <f t="shared" si="3"/>
        <v>0</v>
      </c>
    </row>
    <row r="72" spans="1:11" ht="21" customHeight="1" x14ac:dyDescent="0.3">
      <c r="A72" s="89" t="str">
        <f t="shared" si="2"/>
        <v/>
      </c>
      <c r="B72" s="90"/>
      <c r="C72" s="90"/>
      <c r="D72" s="129"/>
      <c r="E72" s="129"/>
      <c r="F72" s="90"/>
      <c r="G72" s="90"/>
      <c r="H72" s="91"/>
      <c r="I72" s="91"/>
      <c r="J72" s="92"/>
      <c r="K72" s="93">
        <f t="shared" si="3"/>
        <v>0</v>
      </c>
    </row>
    <row r="73" spans="1:11" ht="21" customHeight="1" x14ac:dyDescent="0.3">
      <c r="A73" s="89" t="str">
        <f t="shared" si="2"/>
        <v/>
      </c>
      <c r="B73" s="90"/>
      <c r="C73" s="90"/>
      <c r="D73" s="129"/>
      <c r="E73" s="129"/>
      <c r="F73" s="90"/>
      <c r="G73" s="90"/>
      <c r="H73" s="91"/>
      <c r="I73" s="91"/>
      <c r="J73" s="92"/>
      <c r="K73" s="93">
        <f t="shared" si="3"/>
        <v>0</v>
      </c>
    </row>
    <row r="74" spans="1:11" ht="21" customHeight="1" x14ac:dyDescent="0.3">
      <c r="A74" s="89" t="str">
        <f t="shared" ref="A74:A105" si="4">IF(B74="","",IF(NOT(ISBLANK(B74)),IF(OR(WEEKDAY(DATE($C$3,$C$4,$B74))=1,WEEKDAY(DATE($C$3,$C$4,$B74))=2),1,0),""))</f>
        <v/>
      </c>
      <c r="B74" s="90"/>
      <c r="C74" s="90"/>
      <c r="D74" s="129"/>
      <c r="E74" s="129"/>
      <c r="F74" s="90"/>
      <c r="G74" s="90"/>
      <c r="H74" s="91"/>
      <c r="I74" s="91"/>
      <c r="J74" s="92"/>
      <c r="K74" s="93">
        <f t="shared" ref="K74:K105" si="5">IFERROR(H74*J74+I74*J74*1.5,"")</f>
        <v>0</v>
      </c>
    </row>
    <row r="75" spans="1:11" ht="21" customHeight="1" x14ac:dyDescent="0.3">
      <c r="A75" s="89" t="str">
        <f t="shared" si="4"/>
        <v/>
      </c>
      <c r="B75" s="90"/>
      <c r="C75" s="90"/>
      <c r="D75" s="129"/>
      <c r="E75" s="129"/>
      <c r="F75" s="90"/>
      <c r="G75" s="90"/>
      <c r="H75" s="91"/>
      <c r="I75" s="91"/>
      <c r="J75" s="92"/>
      <c r="K75" s="93">
        <f t="shared" si="5"/>
        <v>0</v>
      </c>
    </row>
    <row r="76" spans="1:11" ht="21" customHeight="1" x14ac:dyDescent="0.3">
      <c r="A76" s="89" t="str">
        <f t="shared" si="4"/>
        <v/>
      </c>
      <c r="B76" s="90"/>
      <c r="C76" s="90"/>
      <c r="D76" s="129"/>
      <c r="E76" s="129"/>
      <c r="F76" s="90"/>
      <c r="G76" s="90"/>
      <c r="H76" s="91"/>
      <c r="I76" s="91"/>
      <c r="J76" s="92"/>
      <c r="K76" s="93">
        <f t="shared" si="5"/>
        <v>0</v>
      </c>
    </row>
    <row r="77" spans="1:11" ht="21" customHeight="1" x14ac:dyDescent="0.3">
      <c r="A77" s="89" t="str">
        <f t="shared" si="4"/>
        <v/>
      </c>
      <c r="B77" s="90"/>
      <c r="C77" s="90"/>
      <c r="D77" s="129"/>
      <c r="E77" s="129"/>
      <c r="F77" s="90"/>
      <c r="G77" s="90"/>
      <c r="H77" s="91"/>
      <c r="I77" s="91"/>
      <c r="J77" s="92"/>
      <c r="K77" s="93">
        <f t="shared" si="5"/>
        <v>0</v>
      </c>
    </row>
    <row r="78" spans="1:11" ht="21" customHeight="1" x14ac:dyDescent="0.3">
      <c r="A78" s="89" t="str">
        <f t="shared" si="4"/>
        <v/>
      </c>
      <c r="B78" s="90"/>
      <c r="C78" s="90"/>
      <c r="D78" s="129"/>
      <c r="E78" s="129"/>
      <c r="F78" s="90"/>
      <c r="G78" s="90"/>
      <c r="H78" s="91"/>
      <c r="I78" s="91"/>
      <c r="J78" s="92"/>
      <c r="K78" s="93">
        <f t="shared" si="5"/>
        <v>0</v>
      </c>
    </row>
    <row r="79" spans="1:11" ht="21" customHeight="1" x14ac:dyDescent="0.3">
      <c r="A79" s="89" t="str">
        <f t="shared" si="4"/>
        <v/>
      </c>
      <c r="B79" s="90"/>
      <c r="C79" s="90"/>
      <c r="D79" s="129"/>
      <c r="E79" s="129"/>
      <c r="F79" s="90"/>
      <c r="G79" s="90"/>
      <c r="H79" s="91"/>
      <c r="I79" s="91"/>
      <c r="J79" s="92"/>
      <c r="K79" s="93">
        <f t="shared" si="5"/>
        <v>0</v>
      </c>
    </row>
    <row r="80" spans="1:11" ht="21" customHeight="1" x14ac:dyDescent="0.3">
      <c r="A80" s="89" t="str">
        <f t="shared" si="4"/>
        <v/>
      </c>
      <c r="B80" s="90"/>
      <c r="C80" s="90"/>
      <c r="D80" s="129"/>
      <c r="E80" s="129"/>
      <c r="F80" s="90"/>
      <c r="G80" s="90"/>
      <c r="H80" s="91"/>
      <c r="I80" s="91"/>
      <c r="J80" s="92"/>
      <c r="K80" s="93">
        <f t="shared" si="5"/>
        <v>0</v>
      </c>
    </row>
    <row r="81" spans="1:11" ht="21" customHeight="1" x14ac:dyDescent="0.3">
      <c r="A81" s="89" t="str">
        <f t="shared" si="4"/>
        <v/>
      </c>
      <c r="B81" s="90"/>
      <c r="C81" s="90"/>
      <c r="D81" s="129"/>
      <c r="E81" s="129"/>
      <c r="F81" s="90"/>
      <c r="G81" s="90"/>
      <c r="H81" s="91"/>
      <c r="I81" s="91"/>
      <c r="J81" s="92"/>
      <c r="K81" s="93">
        <f t="shared" si="5"/>
        <v>0</v>
      </c>
    </row>
    <row r="82" spans="1:11" ht="21" customHeight="1" x14ac:dyDescent="0.3">
      <c r="A82" s="89" t="str">
        <f t="shared" si="4"/>
        <v/>
      </c>
      <c r="B82" s="90"/>
      <c r="C82" s="90"/>
      <c r="D82" s="129"/>
      <c r="E82" s="129"/>
      <c r="F82" s="90"/>
      <c r="G82" s="90"/>
      <c r="H82" s="91"/>
      <c r="I82" s="91"/>
      <c r="J82" s="92"/>
      <c r="K82" s="93">
        <f t="shared" si="5"/>
        <v>0</v>
      </c>
    </row>
    <row r="83" spans="1:11" ht="21" customHeight="1" x14ac:dyDescent="0.3">
      <c r="A83" s="89" t="str">
        <f t="shared" si="4"/>
        <v/>
      </c>
      <c r="B83" s="90"/>
      <c r="C83" s="90"/>
      <c r="D83" s="129"/>
      <c r="E83" s="129"/>
      <c r="F83" s="90"/>
      <c r="G83" s="90"/>
      <c r="H83" s="91"/>
      <c r="I83" s="91"/>
      <c r="J83" s="92"/>
      <c r="K83" s="93">
        <f t="shared" si="5"/>
        <v>0</v>
      </c>
    </row>
    <row r="84" spans="1:11" ht="21" customHeight="1" x14ac:dyDescent="0.3">
      <c r="A84" s="89" t="str">
        <f t="shared" si="4"/>
        <v/>
      </c>
      <c r="B84" s="90"/>
      <c r="C84" s="90"/>
      <c r="D84" s="129"/>
      <c r="E84" s="129"/>
      <c r="F84" s="90"/>
      <c r="G84" s="90"/>
      <c r="H84" s="91"/>
      <c r="I84" s="91"/>
      <c r="J84" s="92"/>
      <c r="K84" s="93">
        <f t="shared" si="5"/>
        <v>0</v>
      </c>
    </row>
    <row r="85" spans="1:11" ht="21" customHeight="1" x14ac:dyDescent="0.3">
      <c r="A85" s="89" t="str">
        <f t="shared" si="4"/>
        <v/>
      </c>
      <c r="B85" s="90"/>
      <c r="C85" s="90"/>
      <c r="D85" s="129"/>
      <c r="E85" s="129"/>
      <c r="F85" s="90"/>
      <c r="G85" s="90"/>
      <c r="H85" s="91"/>
      <c r="I85" s="91"/>
      <c r="J85" s="92"/>
      <c r="K85" s="93">
        <f t="shared" si="5"/>
        <v>0</v>
      </c>
    </row>
    <row r="86" spans="1:11" ht="21" customHeight="1" x14ac:dyDescent="0.3">
      <c r="A86" s="89" t="str">
        <f t="shared" si="4"/>
        <v/>
      </c>
      <c r="B86" s="90"/>
      <c r="C86" s="90"/>
      <c r="D86" s="129"/>
      <c r="E86" s="129"/>
      <c r="F86" s="90"/>
      <c r="G86" s="90"/>
      <c r="H86" s="91"/>
      <c r="I86" s="91"/>
      <c r="J86" s="92"/>
      <c r="K86" s="93">
        <f t="shared" si="5"/>
        <v>0</v>
      </c>
    </row>
    <row r="87" spans="1:11" ht="21" customHeight="1" x14ac:dyDescent="0.3">
      <c r="A87" s="89" t="str">
        <f t="shared" si="4"/>
        <v/>
      </c>
      <c r="B87" s="90"/>
      <c r="C87" s="90"/>
      <c r="D87" s="129"/>
      <c r="E87" s="129"/>
      <c r="F87" s="90"/>
      <c r="G87" s="90"/>
      <c r="H87" s="91"/>
      <c r="I87" s="91"/>
      <c r="J87" s="92"/>
      <c r="K87" s="93">
        <f t="shared" si="5"/>
        <v>0</v>
      </c>
    </row>
    <row r="88" spans="1:11" ht="21" customHeight="1" x14ac:dyDescent="0.3">
      <c r="A88" s="89" t="str">
        <f t="shared" si="4"/>
        <v/>
      </c>
      <c r="B88" s="90"/>
      <c r="C88" s="90"/>
      <c r="D88" s="129"/>
      <c r="E88" s="129"/>
      <c r="F88" s="90"/>
      <c r="G88" s="90"/>
      <c r="H88" s="91"/>
      <c r="I88" s="91"/>
      <c r="J88" s="92"/>
      <c r="K88" s="93">
        <f t="shared" si="5"/>
        <v>0</v>
      </c>
    </row>
    <row r="89" spans="1:11" ht="21" customHeight="1" x14ac:dyDescent="0.3">
      <c r="A89" s="89" t="str">
        <f t="shared" si="4"/>
        <v/>
      </c>
      <c r="B89" s="90"/>
      <c r="C89" s="90"/>
      <c r="D89" s="129"/>
      <c r="E89" s="129"/>
      <c r="F89" s="90"/>
      <c r="G89" s="90"/>
      <c r="H89" s="91"/>
      <c r="I89" s="91"/>
      <c r="J89" s="92"/>
      <c r="K89" s="93">
        <f t="shared" si="5"/>
        <v>0</v>
      </c>
    </row>
    <row r="90" spans="1:11" ht="21" customHeight="1" x14ac:dyDescent="0.3">
      <c r="A90" s="89" t="str">
        <f t="shared" si="4"/>
        <v/>
      </c>
      <c r="B90" s="90"/>
      <c r="C90" s="90"/>
      <c r="D90" s="129"/>
      <c r="E90" s="129"/>
      <c r="F90" s="90"/>
      <c r="G90" s="90"/>
      <c r="H90" s="91"/>
      <c r="I90" s="91"/>
      <c r="J90" s="92"/>
      <c r="K90" s="93">
        <f t="shared" si="5"/>
        <v>0</v>
      </c>
    </row>
    <row r="91" spans="1:11" ht="21" customHeight="1" x14ac:dyDescent="0.3">
      <c r="A91" s="89" t="str">
        <f t="shared" si="4"/>
        <v/>
      </c>
      <c r="B91" s="90"/>
      <c r="C91" s="90"/>
      <c r="D91" s="129"/>
      <c r="E91" s="129"/>
      <c r="F91" s="90"/>
      <c r="G91" s="90"/>
      <c r="H91" s="91"/>
      <c r="I91" s="91"/>
      <c r="J91" s="92"/>
      <c r="K91" s="93">
        <f t="shared" si="5"/>
        <v>0</v>
      </c>
    </row>
    <row r="92" spans="1:11" ht="21" customHeight="1" x14ac:dyDescent="0.3">
      <c r="A92" s="89" t="str">
        <f t="shared" si="4"/>
        <v/>
      </c>
      <c r="B92" s="90"/>
      <c r="C92" s="90"/>
      <c r="D92" s="129"/>
      <c r="E92" s="129"/>
      <c r="F92" s="90"/>
      <c r="G92" s="90"/>
      <c r="H92" s="91"/>
      <c r="I92" s="91"/>
      <c r="J92" s="92"/>
      <c r="K92" s="93">
        <f t="shared" si="5"/>
        <v>0</v>
      </c>
    </row>
    <row r="93" spans="1:11" ht="21" customHeight="1" x14ac:dyDescent="0.3">
      <c r="A93" s="89" t="str">
        <f t="shared" si="4"/>
        <v/>
      </c>
      <c r="B93" s="90"/>
      <c r="C93" s="90"/>
      <c r="D93" s="129"/>
      <c r="E93" s="129"/>
      <c r="F93" s="90"/>
      <c r="G93" s="90"/>
      <c r="H93" s="91"/>
      <c r="I93" s="91"/>
      <c r="J93" s="92"/>
      <c r="K93" s="93">
        <f t="shared" si="5"/>
        <v>0</v>
      </c>
    </row>
    <row r="94" spans="1:11" ht="21" customHeight="1" x14ac:dyDescent="0.3">
      <c r="A94" s="89" t="str">
        <f t="shared" si="4"/>
        <v/>
      </c>
      <c r="B94" s="90"/>
      <c r="C94" s="90"/>
      <c r="D94" s="129"/>
      <c r="E94" s="129"/>
      <c r="F94" s="90"/>
      <c r="G94" s="90"/>
      <c r="H94" s="91"/>
      <c r="I94" s="91"/>
      <c r="J94" s="92"/>
      <c r="K94" s="93">
        <f t="shared" si="5"/>
        <v>0</v>
      </c>
    </row>
    <row r="95" spans="1:11" ht="21" customHeight="1" x14ac:dyDescent="0.3">
      <c r="A95" s="89" t="str">
        <f t="shared" si="4"/>
        <v/>
      </c>
      <c r="B95" s="90"/>
      <c r="C95" s="90"/>
      <c r="D95" s="129"/>
      <c r="E95" s="129"/>
      <c r="F95" s="90"/>
      <c r="G95" s="90"/>
      <c r="H95" s="91"/>
      <c r="I95" s="91"/>
      <c r="J95" s="92"/>
      <c r="K95" s="93">
        <f t="shared" si="5"/>
        <v>0</v>
      </c>
    </row>
    <row r="96" spans="1:11" ht="21" customHeight="1" x14ac:dyDescent="0.3">
      <c r="A96" s="89" t="str">
        <f t="shared" si="4"/>
        <v/>
      </c>
      <c r="B96" s="90"/>
      <c r="C96" s="90"/>
      <c r="D96" s="129"/>
      <c r="E96" s="129"/>
      <c r="F96" s="90"/>
      <c r="G96" s="90"/>
      <c r="H96" s="91"/>
      <c r="I96" s="91"/>
      <c r="J96" s="92"/>
      <c r="K96" s="93">
        <f t="shared" si="5"/>
        <v>0</v>
      </c>
    </row>
    <row r="97" spans="1:11" ht="21" customHeight="1" x14ac:dyDescent="0.3">
      <c r="A97" s="89" t="str">
        <f t="shared" si="4"/>
        <v/>
      </c>
      <c r="B97" s="90"/>
      <c r="C97" s="90"/>
      <c r="D97" s="129"/>
      <c r="E97" s="129"/>
      <c r="F97" s="90"/>
      <c r="G97" s="90"/>
      <c r="H97" s="91"/>
      <c r="I97" s="91"/>
      <c r="J97" s="92"/>
      <c r="K97" s="93">
        <f t="shared" si="5"/>
        <v>0</v>
      </c>
    </row>
    <row r="98" spans="1:11" ht="21" customHeight="1" x14ac:dyDescent="0.3">
      <c r="A98" s="89" t="str">
        <f t="shared" si="4"/>
        <v/>
      </c>
      <c r="B98" s="90"/>
      <c r="C98" s="90"/>
      <c r="D98" s="129"/>
      <c r="E98" s="129"/>
      <c r="F98" s="90"/>
      <c r="G98" s="90"/>
      <c r="H98" s="91"/>
      <c r="I98" s="91"/>
      <c r="J98" s="92"/>
      <c r="K98" s="93">
        <f t="shared" si="5"/>
        <v>0</v>
      </c>
    </row>
    <row r="99" spans="1:11" ht="21" customHeight="1" x14ac:dyDescent="0.3">
      <c r="A99" s="89" t="str">
        <f t="shared" si="4"/>
        <v/>
      </c>
      <c r="B99" s="90"/>
      <c r="C99" s="90"/>
      <c r="D99" s="129"/>
      <c r="E99" s="129"/>
      <c r="F99" s="90"/>
      <c r="G99" s="90"/>
      <c r="H99" s="91"/>
      <c r="I99" s="91"/>
      <c r="J99" s="92"/>
      <c r="K99" s="93">
        <f t="shared" si="5"/>
        <v>0</v>
      </c>
    </row>
    <row r="100" spans="1:11" ht="21" customHeight="1" x14ac:dyDescent="0.3">
      <c r="A100" s="89" t="str">
        <f t="shared" si="4"/>
        <v/>
      </c>
      <c r="B100" s="90"/>
      <c r="C100" s="90"/>
      <c r="D100" s="129"/>
      <c r="E100" s="129"/>
      <c r="F100" s="90"/>
      <c r="G100" s="90"/>
      <c r="H100" s="91"/>
      <c r="I100" s="91"/>
      <c r="J100" s="92"/>
      <c r="K100" s="93">
        <f t="shared" si="5"/>
        <v>0</v>
      </c>
    </row>
    <row r="101" spans="1:11" ht="21" customHeight="1" x14ac:dyDescent="0.3">
      <c r="A101" s="89" t="str">
        <f t="shared" si="4"/>
        <v/>
      </c>
      <c r="B101" s="90"/>
      <c r="C101" s="90"/>
      <c r="D101" s="129"/>
      <c r="E101" s="129"/>
      <c r="F101" s="90"/>
      <c r="G101" s="90"/>
      <c r="H101" s="91"/>
      <c r="I101" s="91"/>
      <c r="J101" s="92"/>
      <c r="K101" s="93">
        <f t="shared" si="5"/>
        <v>0</v>
      </c>
    </row>
    <row r="102" spans="1:11" ht="21" customHeight="1" x14ac:dyDescent="0.3">
      <c r="A102" s="89" t="str">
        <f t="shared" si="4"/>
        <v/>
      </c>
      <c r="B102" s="90"/>
      <c r="C102" s="90"/>
      <c r="D102" s="129"/>
      <c r="E102" s="129"/>
      <c r="F102" s="90"/>
      <c r="G102" s="90"/>
      <c r="H102" s="91"/>
      <c r="I102" s="91"/>
      <c r="J102" s="92"/>
      <c r="K102" s="93">
        <f t="shared" si="5"/>
        <v>0</v>
      </c>
    </row>
    <row r="103" spans="1:11" ht="21" customHeight="1" x14ac:dyDescent="0.3">
      <c r="A103" s="89" t="str">
        <f t="shared" si="4"/>
        <v/>
      </c>
      <c r="B103" s="90"/>
      <c r="C103" s="90"/>
      <c r="D103" s="129"/>
      <c r="E103" s="129"/>
      <c r="F103" s="90"/>
      <c r="G103" s="90"/>
      <c r="H103" s="91"/>
      <c r="I103" s="91"/>
      <c r="J103" s="92"/>
      <c r="K103" s="93">
        <f t="shared" si="5"/>
        <v>0</v>
      </c>
    </row>
    <row r="104" spans="1:11" ht="21" customHeight="1" x14ac:dyDescent="0.3">
      <c r="A104" s="89" t="str">
        <f t="shared" si="4"/>
        <v/>
      </c>
      <c r="B104" s="90"/>
      <c r="C104" s="90"/>
      <c r="D104" s="129"/>
      <c r="E104" s="129"/>
      <c r="F104" s="90"/>
      <c r="G104" s="90"/>
      <c r="H104" s="91"/>
      <c r="I104" s="91"/>
      <c r="J104" s="92"/>
      <c r="K104" s="93">
        <f t="shared" si="5"/>
        <v>0</v>
      </c>
    </row>
    <row r="105" spans="1:11" ht="21" customHeight="1" x14ac:dyDescent="0.3">
      <c r="A105" s="89" t="str">
        <f t="shared" si="4"/>
        <v/>
      </c>
      <c r="B105" s="90"/>
      <c r="C105" s="90"/>
      <c r="D105" s="129"/>
      <c r="E105" s="129"/>
      <c r="F105" s="90"/>
      <c r="G105" s="90"/>
      <c r="H105" s="91"/>
      <c r="I105" s="91"/>
      <c r="J105" s="92"/>
      <c r="K105" s="93">
        <f t="shared" si="5"/>
        <v>0</v>
      </c>
    </row>
    <row r="106" spans="1:11" ht="21" customHeight="1" x14ac:dyDescent="0.3">
      <c r="A106" s="89" t="str">
        <f t="shared" ref="A106:A137" si="6">IF(B106="","",IF(NOT(ISBLANK(B106)),IF(OR(WEEKDAY(DATE($C$3,$C$4,$B106))=1,WEEKDAY(DATE($C$3,$C$4,$B106))=2),1,0),""))</f>
        <v/>
      </c>
      <c r="B106" s="90"/>
      <c r="C106" s="90"/>
      <c r="D106" s="129"/>
      <c r="E106" s="129"/>
      <c r="F106" s="90"/>
      <c r="G106" s="90"/>
      <c r="H106" s="91"/>
      <c r="I106" s="91"/>
      <c r="J106" s="92"/>
      <c r="K106" s="93">
        <f t="shared" ref="K106:K137" si="7">IFERROR(H106*J106+I106*J106*1.5,"")</f>
        <v>0</v>
      </c>
    </row>
    <row r="107" spans="1:11" ht="21" customHeight="1" x14ac:dyDescent="0.3">
      <c r="A107" s="89" t="str">
        <f t="shared" si="6"/>
        <v/>
      </c>
      <c r="B107" s="90"/>
      <c r="C107" s="90"/>
      <c r="D107" s="129"/>
      <c r="E107" s="129"/>
      <c r="F107" s="90"/>
      <c r="G107" s="90"/>
      <c r="H107" s="91"/>
      <c r="I107" s="91"/>
      <c r="J107" s="92"/>
      <c r="K107" s="93">
        <f t="shared" si="7"/>
        <v>0</v>
      </c>
    </row>
    <row r="108" spans="1:11" ht="21" customHeight="1" x14ac:dyDescent="0.3">
      <c r="A108" s="89" t="str">
        <f t="shared" si="6"/>
        <v/>
      </c>
      <c r="B108" s="90"/>
      <c r="C108" s="90"/>
      <c r="D108" s="129"/>
      <c r="E108" s="129"/>
      <c r="F108" s="90"/>
      <c r="G108" s="90"/>
      <c r="H108" s="91"/>
      <c r="I108" s="91"/>
      <c r="J108" s="92"/>
      <c r="K108" s="93">
        <f t="shared" si="7"/>
        <v>0</v>
      </c>
    </row>
    <row r="109" spans="1:11" ht="21" customHeight="1" x14ac:dyDescent="0.3">
      <c r="A109" s="89" t="str">
        <f t="shared" si="6"/>
        <v/>
      </c>
      <c r="B109" s="90"/>
      <c r="C109" s="90"/>
      <c r="D109" s="129"/>
      <c r="E109" s="129"/>
      <c r="F109" s="90"/>
      <c r="G109" s="90"/>
      <c r="H109" s="91"/>
      <c r="I109" s="91"/>
      <c r="J109" s="92"/>
      <c r="K109" s="93">
        <f t="shared" si="7"/>
        <v>0</v>
      </c>
    </row>
    <row r="110" spans="1:11" ht="21" customHeight="1" x14ac:dyDescent="0.3">
      <c r="A110" s="89" t="str">
        <f t="shared" si="6"/>
        <v/>
      </c>
      <c r="B110" s="90"/>
      <c r="C110" s="90"/>
      <c r="D110" s="129"/>
      <c r="E110" s="129"/>
      <c r="F110" s="90"/>
      <c r="G110" s="90"/>
      <c r="H110" s="91"/>
      <c r="I110" s="91"/>
      <c r="J110" s="92"/>
      <c r="K110" s="93">
        <f t="shared" si="7"/>
        <v>0</v>
      </c>
    </row>
    <row r="111" spans="1:11" ht="21" customHeight="1" x14ac:dyDescent="0.3">
      <c r="A111" s="89" t="str">
        <f t="shared" si="6"/>
        <v/>
      </c>
      <c r="B111" s="90"/>
      <c r="C111" s="90"/>
      <c r="D111" s="129"/>
      <c r="E111" s="129"/>
      <c r="F111" s="90"/>
      <c r="G111" s="90"/>
      <c r="H111" s="91"/>
      <c r="I111" s="91"/>
      <c r="J111" s="92"/>
      <c r="K111" s="93">
        <f t="shared" si="7"/>
        <v>0</v>
      </c>
    </row>
    <row r="112" spans="1:11" ht="21" customHeight="1" x14ac:dyDescent="0.3">
      <c r="A112" s="89" t="str">
        <f t="shared" si="6"/>
        <v/>
      </c>
      <c r="B112" s="90"/>
      <c r="C112" s="90"/>
      <c r="D112" s="129"/>
      <c r="E112" s="129"/>
      <c r="F112" s="90"/>
      <c r="G112" s="90"/>
      <c r="H112" s="91"/>
      <c r="I112" s="91"/>
      <c r="J112" s="92"/>
      <c r="K112" s="93">
        <f t="shared" si="7"/>
        <v>0</v>
      </c>
    </row>
    <row r="113" spans="1:11" ht="21" customHeight="1" x14ac:dyDescent="0.3">
      <c r="A113" s="89" t="str">
        <f t="shared" si="6"/>
        <v/>
      </c>
      <c r="B113" s="90"/>
      <c r="C113" s="90"/>
      <c r="D113" s="129"/>
      <c r="E113" s="129"/>
      <c r="F113" s="90"/>
      <c r="G113" s="90"/>
      <c r="H113" s="91"/>
      <c r="I113" s="91"/>
      <c r="J113" s="92"/>
      <c r="K113" s="93">
        <f t="shared" si="7"/>
        <v>0</v>
      </c>
    </row>
    <row r="114" spans="1:11" ht="21" customHeight="1" x14ac:dyDescent="0.3">
      <c r="A114" s="89" t="str">
        <f t="shared" si="6"/>
        <v/>
      </c>
      <c r="B114" s="90"/>
      <c r="C114" s="90"/>
      <c r="D114" s="129"/>
      <c r="E114" s="129"/>
      <c r="F114" s="90"/>
      <c r="G114" s="90"/>
      <c r="H114" s="91"/>
      <c r="I114" s="91"/>
      <c r="J114" s="92"/>
      <c r="K114" s="93">
        <f t="shared" si="7"/>
        <v>0</v>
      </c>
    </row>
    <row r="115" spans="1:11" ht="21" customHeight="1" x14ac:dyDescent="0.3">
      <c r="A115" s="89" t="str">
        <f t="shared" si="6"/>
        <v/>
      </c>
      <c r="B115" s="90"/>
      <c r="C115" s="90"/>
      <c r="D115" s="129"/>
      <c r="E115" s="129"/>
      <c r="F115" s="90"/>
      <c r="G115" s="90"/>
      <c r="H115" s="91"/>
      <c r="I115" s="91"/>
      <c r="J115" s="92"/>
      <c r="K115" s="93">
        <f t="shared" si="7"/>
        <v>0</v>
      </c>
    </row>
    <row r="116" spans="1:11" ht="21" customHeight="1" x14ac:dyDescent="0.3">
      <c r="A116" s="89" t="str">
        <f t="shared" si="6"/>
        <v/>
      </c>
      <c r="B116" s="90"/>
      <c r="C116" s="90"/>
      <c r="D116" s="129"/>
      <c r="E116" s="129"/>
      <c r="F116" s="90"/>
      <c r="G116" s="90"/>
      <c r="H116" s="91"/>
      <c r="I116" s="91"/>
      <c r="J116" s="92"/>
      <c r="K116" s="93">
        <f t="shared" si="7"/>
        <v>0</v>
      </c>
    </row>
    <row r="117" spans="1:11" ht="21" customHeight="1" x14ac:dyDescent="0.3">
      <c r="A117" s="89" t="str">
        <f t="shared" si="6"/>
        <v/>
      </c>
      <c r="B117" s="90"/>
      <c r="C117" s="90"/>
      <c r="D117" s="129"/>
      <c r="E117" s="129"/>
      <c r="F117" s="90"/>
      <c r="G117" s="90"/>
      <c r="H117" s="91"/>
      <c r="I117" s="91"/>
      <c r="J117" s="92"/>
      <c r="K117" s="93">
        <f t="shared" si="7"/>
        <v>0</v>
      </c>
    </row>
    <row r="118" spans="1:11" ht="21" customHeight="1" x14ac:dyDescent="0.3">
      <c r="A118" s="89" t="str">
        <f t="shared" si="6"/>
        <v/>
      </c>
      <c r="B118" s="90"/>
      <c r="C118" s="90"/>
      <c r="D118" s="129"/>
      <c r="E118" s="129"/>
      <c r="F118" s="90"/>
      <c r="G118" s="90"/>
      <c r="H118" s="91"/>
      <c r="I118" s="91"/>
      <c r="J118" s="92"/>
      <c r="K118" s="93">
        <f t="shared" si="7"/>
        <v>0</v>
      </c>
    </row>
    <row r="119" spans="1:11" ht="21" customHeight="1" x14ac:dyDescent="0.3">
      <c r="A119" s="89" t="str">
        <f t="shared" si="6"/>
        <v/>
      </c>
      <c r="B119" s="90"/>
      <c r="C119" s="90"/>
      <c r="D119" s="129"/>
      <c r="E119" s="129"/>
      <c r="F119" s="90"/>
      <c r="G119" s="90"/>
      <c r="H119" s="91"/>
      <c r="I119" s="91"/>
      <c r="J119" s="92"/>
      <c r="K119" s="93">
        <f t="shared" si="7"/>
        <v>0</v>
      </c>
    </row>
    <row r="120" spans="1:11" ht="21" customHeight="1" x14ac:dyDescent="0.3">
      <c r="A120" s="89" t="str">
        <f t="shared" si="6"/>
        <v/>
      </c>
      <c r="B120" s="90"/>
      <c r="C120" s="90"/>
      <c r="D120" s="129"/>
      <c r="E120" s="129"/>
      <c r="F120" s="90"/>
      <c r="G120" s="90"/>
      <c r="H120" s="91"/>
      <c r="I120" s="91"/>
      <c r="J120" s="92"/>
      <c r="K120" s="93">
        <f t="shared" si="7"/>
        <v>0</v>
      </c>
    </row>
    <row r="121" spans="1:11" ht="21" customHeight="1" x14ac:dyDescent="0.3">
      <c r="A121" s="89" t="str">
        <f t="shared" si="6"/>
        <v/>
      </c>
      <c r="B121" s="90"/>
      <c r="C121" s="90"/>
      <c r="D121" s="129"/>
      <c r="E121" s="129"/>
      <c r="F121" s="90"/>
      <c r="G121" s="90"/>
      <c r="H121" s="91"/>
      <c r="I121" s="91"/>
      <c r="J121" s="92"/>
      <c r="K121" s="93">
        <f t="shared" si="7"/>
        <v>0</v>
      </c>
    </row>
    <row r="122" spans="1:11" ht="21" customHeight="1" x14ac:dyDescent="0.3">
      <c r="A122" s="89" t="str">
        <f t="shared" si="6"/>
        <v/>
      </c>
      <c r="B122" s="90"/>
      <c r="C122" s="90"/>
      <c r="D122" s="129"/>
      <c r="E122" s="129"/>
      <c r="F122" s="90"/>
      <c r="G122" s="90"/>
      <c r="H122" s="91"/>
      <c r="I122" s="91"/>
      <c r="J122" s="92"/>
      <c r="K122" s="93">
        <f t="shared" si="7"/>
        <v>0</v>
      </c>
    </row>
    <row r="123" spans="1:11" ht="21" customHeight="1" x14ac:dyDescent="0.3">
      <c r="A123" s="89" t="str">
        <f t="shared" si="6"/>
        <v/>
      </c>
      <c r="B123" s="90"/>
      <c r="C123" s="90"/>
      <c r="D123" s="129"/>
      <c r="E123" s="129"/>
      <c r="F123" s="90"/>
      <c r="G123" s="90"/>
      <c r="H123" s="91"/>
      <c r="I123" s="91"/>
      <c r="J123" s="92"/>
      <c r="K123" s="93">
        <f t="shared" si="7"/>
        <v>0</v>
      </c>
    </row>
    <row r="124" spans="1:11" ht="21" customHeight="1" x14ac:dyDescent="0.3">
      <c r="A124" s="89" t="str">
        <f t="shared" si="6"/>
        <v/>
      </c>
      <c r="B124" s="90"/>
      <c r="C124" s="90"/>
      <c r="D124" s="129"/>
      <c r="E124" s="129"/>
      <c r="F124" s="90"/>
      <c r="G124" s="90"/>
      <c r="H124" s="91"/>
      <c r="I124" s="91"/>
      <c r="J124" s="92"/>
      <c r="K124" s="93">
        <f t="shared" si="7"/>
        <v>0</v>
      </c>
    </row>
    <row r="125" spans="1:11" ht="21" customHeight="1" x14ac:dyDescent="0.3">
      <c r="A125" s="89" t="str">
        <f t="shared" si="6"/>
        <v/>
      </c>
      <c r="B125" s="90"/>
      <c r="C125" s="90"/>
      <c r="D125" s="129"/>
      <c r="E125" s="129"/>
      <c r="F125" s="90"/>
      <c r="G125" s="90"/>
      <c r="H125" s="91"/>
      <c r="I125" s="91"/>
      <c r="J125" s="92"/>
      <c r="K125" s="93">
        <f t="shared" si="7"/>
        <v>0</v>
      </c>
    </row>
    <row r="126" spans="1:11" ht="21" customHeight="1" x14ac:dyDescent="0.3">
      <c r="A126" s="89" t="str">
        <f t="shared" si="6"/>
        <v/>
      </c>
      <c r="B126" s="90"/>
      <c r="C126" s="90"/>
      <c r="D126" s="129"/>
      <c r="E126" s="129"/>
      <c r="F126" s="90"/>
      <c r="G126" s="90"/>
      <c r="H126" s="91"/>
      <c r="I126" s="91"/>
      <c r="J126" s="92"/>
      <c r="K126" s="93">
        <f t="shared" si="7"/>
        <v>0</v>
      </c>
    </row>
    <row r="127" spans="1:11" ht="21" customHeight="1" x14ac:dyDescent="0.3">
      <c r="A127" s="89" t="str">
        <f t="shared" si="6"/>
        <v/>
      </c>
      <c r="B127" s="90"/>
      <c r="C127" s="90"/>
      <c r="D127" s="129"/>
      <c r="E127" s="129"/>
      <c r="F127" s="90"/>
      <c r="G127" s="90"/>
      <c r="H127" s="91"/>
      <c r="I127" s="91"/>
      <c r="J127" s="92"/>
      <c r="K127" s="93">
        <f t="shared" si="7"/>
        <v>0</v>
      </c>
    </row>
    <row r="128" spans="1:11" ht="21" customHeight="1" x14ac:dyDescent="0.3">
      <c r="A128" s="89" t="str">
        <f t="shared" si="6"/>
        <v/>
      </c>
      <c r="B128" s="90"/>
      <c r="C128" s="90"/>
      <c r="D128" s="129"/>
      <c r="E128" s="129"/>
      <c r="F128" s="90"/>
      <c r="G128" s="90"/>
      <c r="H128" s="91"/>
      <c r="I128" s="91"/>
      <c r="J128" s="92"/>
      <c r="K128" s="93">
        <f t="shared" si="7"/>
        <v>0</v>
      </c>
    </row>
    <row r="129" spans="1:11" ht="21" customHeight="1" x14ac:dyDescent="0.3">
      <c r="A129" s="89" t="str">
        <f t="shared" si="6"/>
        <v/>
      </c>
      <c r="B129" s="90"/>
      <c r="C129" s="90"/>
      <c r="D129" s="129"/>
      <c r="E129" s="129"/>
      <c r="F129" s="90"/>
      <c r="G129" s="90"/>
      <c r="H129" s="91"/>
      <c r="I129" s="91"/>
      <c r="J129" s="92"/>
      <c r="K129" s="93">
        <f t="shared" si="7"/>
        <v>0</v>
      </c>
    </row>
    <row r="130" spans="1:11" ht="21" customHeight="1" x14ac:dyDescent="0.3">
      <c r="A130" s="89" t="str">
        <f t="shared" si="6"/>
        <v/>
      </c>
      <c r="B130" s="90"/>
      <c r="C130" s="90"/>
      <c r="D130" s="129"/>
      <c r="E130" s="129"/>
      <c r="F130" s="90"/>
      <c r="G130" s="90"/>
      <c r="H130" s="91"/>
      <c r="I130" s="91"/>
      <c r="J130" s="92"/>
      <c r="K130" s="93">
        <f t="shared" si="7"/>
        <v>0</v>
      </c>
    </row>
    <row r="131" spans="1:11" ht="21" customHeight="1" x14ac:dyDescent="0.3">
      <c r="A131" s="89" t="str">
        <f t="shared" si="6"/>
        <v/>
      </c>
      <c r="B131" s="90"/>
      <c r="C131" s="90"/>
      <c r="D131" s="129"/>
      <c r="E131" s="129"/>
      <c r="F131" s="90"/>
      <c r="G131" s="90"/>
      <c r="H131" s="91"/>
      <c r="I131" s="91"/>
      <c r="J131" s="92"/>
      <c r="K131" s="93">
        <f t="shared" si="7"/>
        <v>0</v>
      </c>
    </row>
    <row r="132" spans="1:11" ht="21" customHeight="1" x14ac:dyDescent="0.3">
      <c r="A132" s="89" t="str">
        <f t="shared" si="6"/>
        <v/>
      </c>
      <c r="B132" s="90"/>
      <c r="C132" s="90"/>
      <c r="D132" s="129"/>
      <c r="E132" s="129"/>
      <c r="F132" s="90"/>
      <c r="G132" s="90"/>
      <c r="H132" s="91"/>
      <c r="I132" s="91"/>
      <c r="J132" s="92"/>
      <c r="K132" s="93">
        <f t="shared" si="7"/>
        <v>0</v>
      </c>
    </row>
    <row r="133" spans="1:11" ht="21" customHeight="1" x14ac:dyDescent="0.3">
      <c r="A133" s="89" t="str">
        <f t="shared" si="6"/>
        <v/>
      </c>
      <c r="B133" s="90"/>
      <c r="C133" s="90"/>
      <c r="D133" s="129"/>
      <c r="E133" s="129"/>
      <c r="F133" s="90"/>
      <c r="G133" s="90"/>
      <c r="H133" s="91"/>
      <c r="I133" s="91"/>
      <c r="J133" s="92"/>
      <c r="K133" s="93">
        <f t="shared" si="7"/>
        <v>0</v>
      </c>
    </row>
    <row r="134" spans="1:11" ht="21" customHeight="1" x14ac:dyDescent="0.3">
      <c r="A134" s="89" t="str">
        <f t="shared" si="6"/>
        <v/>
      </c>
      <c r="B134" s="90"/>
      <c r="C134" s="90"/>
      <c r="D134" s="129"/>
      <c r="E134" s="129"/>
      <c r="F134" s="90"/>
      <c r="G134" s="90"/>
      <c r="H134" s="91"/>
      <c r="I134" s="91"/>
      <c r="J134" s="92"/>
      <c r="K134" s="93">
        <f t="shared" si="7"/>
        <v>0</v>
      </c>
    </row>
    <row r="135" spans="1:11" ht="21" customHeight="1" x14ac:dyDescent="0.3">
      <c r="A135" s="89" t="str">
        <f t="shared" si="6"/>
        <v/>
      </c>
      <c r="B135" s="90"/>
      <c r="C135" s="90"/>
      <c r="D135" s="129"/>
      <c r="E135" s="129"/>
      <c r="F135" s="90"/>
      <c r="G135" s="90"/>
      <c r="H135" s="91"/>
      <c r="I135" s="91"/>
      <c r="J135" s="92"/>
      <c r="K135" s="93">
        <f t="shared" si="7"/>
        <v>0</v>
      </c>
    </row>
    <row r="136" spans="1:11" ht="21" customHeight="1" x14ac:dyDescent="0.3">
      <c r="A136" s="89" t="str">
        <f t="shared" si="6"/>
        <v/>
      </c>
      <c r="B136" s="90"/>
      <c r="C136" s="90"/>
      <c r="D136" s="129"/>
      <c r="E136" s="129"/>
      <c r="F136" s="90"/>
      <c r="G136" s="90"/>
      <c r="H136" s="91"/>
      <c r="I136" s="91"/>
      <c r="J136" s="92"/>
      <c r="K136" s="93">
        <f t="shared" si="7"/>
        <v>0</v>
      </c>
    </row>
    <row r="137" spans="1:11" ht="21" customHeight="1" x14ac:dyDescent="0.3">
      <c r="A137" s="89" t="str">
        <f t="shared" si="6"/>
        <v/>
      </c>
      <c r="B137" s="90"/>
      <c r="C137" s="90"/>
      <c r="D137" s="129"/>
      <c r="E137" s="129"/>
      <c r="F137" s="90"/>
      <c r="G137" s="90"/>
      <c r="H137" s="91"/>
      <c r="I137" s="91"/>
      <c r="J137" s="92"/>
      <c r="K137" s="93">
        <f t="shared" si="7"/>
        <v>0</v>
      </c>
    </row>
    <row r="138" spans="1:11" ht="21" customHeight="1" x14ac:dyDescent="0.3">
      <c r="A138" s="89" t="str">
        <f t="shared" ref="A138:A169" si="8">IF(B138="","",IF(NOT(ISBLANK(B138)),IF(OR(WEEKDAY(DATE($C$3,$C$4,$B138))=1,WEEKDAY(DATE($C$3,$C$4,$B138))=2),1,0),""))</f>
        <v/>
      </c>
      <c r="B138" s="90"/>
      <c r="C138" s="90"/>
      <c r="D138" s="129"/>
      <c r="E138" s="129"/>
      <c r="F138" s="90"/>
      <c r="G138" s="90"/>
      <c r="H138" s="91"/>
      <c r="I138" s="91"/>
      <c r="J138" s="92"/>
      <c r="K138" s="93">
        <f t="shared" ref="K138:K169" si="9">IFERROR(H138*J138+I138*J138*1.5,"")</f>
        <v>0</v>
      </c>
    </row>
    <row r="139" spans="1:11" ht="21" customHeight="1" x14ac:dyDescent="0.3">
      <c r="A139" s="89" t="str">
        <f t="shared" si="8"/>
        <v/>
      </c>
      <c r="B139" s="90"/>
      <c r="C139" s="90"/>
      <c r="D139" s="129"/>
      <c r="E139" s="129"/>
      <c r="F139" s="90"/>
      <c r="G139" s="90"/>
      <c r="H139" s="91"/>
      <c r="I139" s="91"/>
      <c r="J139" s="92"/>
      <c r="K139" s="93">
        <f t="shared" si="9"/>
        <v>0</v>
      </c>
    </row>
    <row r="140" spans="1:11" ht="21" customHeight="1" x14ac:dyDescent="0.3">
      <c r="A140" s="89" t="str">
        <f t="shared" si="8"/>
        <v/>
      </c>
      <c r="B140" s="90"/>
      <c r="C140" s="90"/>
      <c r="D140" s="129"/>
      <c r="E140" s="129"/>
      <c r="F140" s="90"/>
      <c r="G140" s="90"/>
      <c r="H140" s="91"/>
      <c r="I140" s="91"/>
      <c r="J140" s="92"/>
      <c r="K140" s="93">
        <f t="shared" si="9"/>
        <v>0</v>
      </c>
    </row>
    <row r="141" spans="1:11" ht="21" customHeight="1" x14ac:dyDescent="0.3">
      <c r="A141" s="89" t="str">
        <f t="shared" si="8"/>
        <v/>
      </c>
      <c r="B141" s="90"/>
      <c r="C141" s="90"/>
      <c r="D141" s="129"/>
      <c r="E141" s="129"/>
      <c r="F141" s="90"/>
      <c r="G141" s="90"/>
      <c r="H141" s="91"/>
      <c r="I141" s="91"/>
      <c r="J141" s="92"/>
      <c r="K141" s="93">
        <f t="shared" si="9"/>
        <v>0</v>
      </c>
    </row>
    <row r="142" spans="1:11" ht="21" customHeight="1" x14ac:dyDescent="0.3">
      <c r="A142" s="89" t="str">
        <f t="shared" si="8"/>
        <v/>
      </c>
      <c r="B142" s="90"/>
      <c r="C142" s="90"/>
      <c r="D142" s="129"/>
      <c r="E142" s="129"/>
      <c r="F142" s="90"/>
      <c r="G142" s="90"/>
      <c r="H142" s="91"/>
      <c r="I142" s="91"/>
      <c r="J142" s="92"/>
      <c r="K142" s="93">
        <f t="shared" si="9"/>
        <v>0</v>
      </c>
    </row>
    <row r="143" spans="1:11" ht="21" customHeight="1" x14ac:dyDescent="0.3">
      <c r="A143" s="89" t="str">
        <f t="shared" si="8"/>
        <v/>
      </c>
      <c r="B143" s="90"/>
      <c r="C143" s="90"/>
      <c r="D143" s="129"/>
      <c r="E143" s="129"/>
      <c r="F143" s="90"/>
      <c r="G143" s="90"/>
      <c r="H143" s="91"/>
      <c r="I143" s="91"/>
      <c r="J143" s="92"/>
      <c r="K143" s="93">
        <f t="shared" si="9"/>
        <v>0</v>
      </c>
    </row>
    <row r="144" spans="1:11" ht="21" customHeight="1" x14ac:dyDescent="0.3">
      <c r="A144" s="89" t="str">
        <f t="shared" si="8"/>
        <v/>
      </c>
      <c r="B144" s="90"/>
      <c r="C144" s="90"/>
      <c r="D144" s="129"/>
      <c r="E144" s="129"/>
      <c r="F144" s="90"/>
      <c r="G144" s="90"/>
      <c r="H144" s="91"/>
      <c r="I144" s="91"/>
      <c r="J144" s="92"/>
      <c r="K144" s="93">
        <f t="shared" si="9"/>
        <v>0</v>
      </c>
    </row>
    <row r="145" spans="1:11" ht="21" customHeight="1" x14ac:dyDescent="0.3">
      <c r="A145" s="89" t="str">
        <f t="shared" si="8"/>
        <v/>
      </c>
      <c r="B145" s="90"/>
      <c r="C145" s="90"/>
      <c r="D145" s="129"/>
      <c r="E145" s="129"/>
      <c r="F145" s="90"/>
      <c r="G145" s="90"/>
      <c r="H145" s="91"/>
      <c r="I145" s="91"/>
      <c r="J145" s="92"/>
      <c r="K145" s="93">
        <f t="shared" si="9"/>
        <v>0</v>
      </c>
    </row>
    <row r="146" spans="1:11" ht="21" customHeight="1" x14ac:dyDescent="0.3">
      <c r="A146" s="89" t="str">
        <f t="shared" si="8"/>
        <v/>
      </c>
      <c r="B146" s="90"/>
      <c r="C146" s="90"/>
      <c r="D146" s="129"/>
      <c r="E146" s="129"/>
      <c r="F146" s="90"/>
      <c r="G146" s="90"/>
      <c r="H146" s="91"/>
      <c r="I146" s="91"/>
      <c r="J146" s="92"/>
      <c r="K146" s="93">
        <f t="shared" si="9"/>
        <v>0</v>
      </c>
    </row>
    <row r="147" spans="1:11" ht="21" customHeight="1" x14ac:dyDescent="0.3">
      <c r="A147" s="89" t="str">
        <f t="shared" si="8"/>
        <v/>
      </c>
      <c r="B147" s="90"/>
      <c r="C147" s="90"/>
      <c r="D147" s="129"/>
      <c r="E147" s="129"/>
      <c r="F147" s="90"/>
      <c r="G147" s="90"/>
      <c r="H147" s="91"/>
      <c r="I147" s="91"/>
      <c r="J147" s="92"/>
      <c r="K147" s="93">
        <f t="shared" si="9"/>
        <v>0</v>
      </c>
    </row>
    <row r="148" spans="1:11" ht="21" customHeight="1" x14ac:dyDescent="0.3">
      <c r="A148" s="89" t="str">
        <f t="shared" si="8"/>
        <v/>
      </c>
      <c r="B148" s="90"/>
      <c r="C148" s="90"/>
      <c r="D148" s="129"/>
      <c r="E148" s="129"/>
      <c r="F148" s="90"/>
      <c r="G148" s="90"/>
      <c r="H148" s="91"/>
      <c r="I148" s="91"/>
      <c r="J148" s="92"/>
      <c r="K148" s="93">
        <f t="shared" si="9"/>
        <v>0</v>
      </c>
    </row>
    <row r="149" spans="1:11" ht="21" customHeight="1" x14ac:dyDescent="0.3">
      <c r="A149" s="89" t="str">
        <f t="shared" si="8"/>
        <v/>
      </c>
      <c r="B149" s="90"/>
      <c r="C149" s="90"/>
      <c r="D149" s="129"/>
      <c r="E149" s="129"/>
      <c r="F149" s="90"/>
      <c r="G149" s="90"/>
      <c r="H149" s="91"/>
      <c r="I149" s="91"/>
      <c r="J149" s="92"/>
      <c r="K149" s="93">
        <f t="shared" si="9"/>
        <v>0</v>
      </c>
    </row>
    <row r="150" spans="1:11" ht="21" customHeight="1" x14ac:dyDescent="0.3">
      <c r="A150" s="89" t="str">
        <f t="shared" si="8"/>
        <v/>
      </c>
      <c r="B150" s="90"/>
      <c r="C150" s="90"/>
      <c r="D150" s="129"/>
      <c r="E150" s="129"/>
      <c r="F150" s="90"/>
      <c r="G150" s="90"/>
      <c r="H150" s="91"/>
      <c r="I150" s="91"/>
      <c r="J150" s="92"/>
      <c r="K150" s="93">
        <f t="shared" si="9"/>
        <v>0</v>
      </c>
    </row>
    <row r="151" spans="1:11" ht="21" customHeight="1" x14ac:dyDescent="0.3">
      <c r="A151" s="89" t="str">
        <f t="shared" si="8"/>
        <v/>
      </c>
      <c r="B151" s="90"/>
      <c r="C151" s="90"/>
      <c r="D151" s="129"/>
      <c r="E151" s="129"/>
      <c r="F151" s="90"/>
      <c r="G151" s="90"/>
      <c r="H151" s="91"/>
      <c r="I151" s="91"/>
      <c r="J151" s="92"/>
      <c r="K151" s="93">
        <f t="shared" si="9"/>
        <v>0</v>
      </c>
    </row>
    <row r="152" spans="1:11" ht="21" customHeight="1" x14ac:dyDescent="0.3">
      <c r="A152" s="89" t="str">
        <f t="shared" si="8"/>
        <v/>
      </c>
      <c r="B152" s="90"/>
      <c r="C152" s="90"/>
      <c r="D152" s="129"/>
      <c r="E152" s="129"/>
      <c r="F152" s="90"/>
      <c r="G152" s="90"/>
      <c r="H152" s="91"/>
      <c r="I152" s="91"/>
      <c r="J152" s="92"/>
      <c r="K152" s="93">
        <f t="shared" si="9"/>
        <v>0</v>
      </c>
    </row>
    <row r="153" spans="1:11" ht="21" customHeight="1" x14ac:dyDescent="0.3">
      <c r="A153" s="89" t="str">
        <f t="shared" si="8"/>
        <v/>
      </c>
      <c r="B153" s="90"/>
      <c r="C153" s="90"/>
      <c r="D153" s="129"/>
      <c r="E153" s="129"/>
      <c r="F153" s="90"/>
      <c r="G153" s="90"/>
      <c r="H153" s="91"/>
      <c r="I153" s="91"/>
      <c r="J153" s="92"/>
      <c r="K153" s="93">
        <f t="shared" si="9"/>
        <v>0</v>
      </c>
    </row>
    <row r="154" spans="1:11" ht="21" customHeight="1" x14ac:dyDescent="0.3">
      <c r="A154" s="89" t="str">
        <f t="shared" si="8"/>
        <v/>
      </c>
      <c r="B154" s="90"/>
      <c r="C154" s="90"/>
      <c r="D154" s="129"/>
      <c r="E154" s="129"/>
      <c r="F154" s="90"/>
      <c r="G154" s="90"/>
      <c r="H154" s="91"/>
      <c r="I154" s="91"/>
      <c r="J154" s="92"/>
      <c r="K154" s="93">
        <f t="shared" si="9"/>
        <v>0</v>
      </c>
    </row>
    <row r="155" spans="1:11" ht="21" customHeight="1" x14ac:dyDescent="0.3">
      <c r="A155" s="89" t="str">
        <f t="shared" si="8"/>
        <v/>
      </c>
      <c r="B155" s="90"/>
      <c r="C155" s="90"/>
      <c r="D155" s="129"/>
      <c r="E155" s="129"/>
      <c r="F155" s="90"/>
      <c r="G155" s="90"/>
      <c r="H155" s="91"/>
      <c r="I155" s="91"/>
      <c r="J155" s="92"/>
      <c r="K155" s="93">
        <f t="shared" si="9"/>
        <v>0</v>
      </c>
    </row>
    <row r="156" spans="1:11" ht="21" customHeight="1" x14ac:dyDescent="0.3">
      <c r="A156" s="89" t="str">
        <f t="shared" si="8"/>
        <v/>
      </c>
      <c r="B156" s="90"/>
      <c r="C156" s="90"/>
      <c r="D156" s="129"/>
      <c r="E156" s="129"/>
      <c r="F156" s="90"/>
      <c r="G156" s="90"/>
      <c r="H156" s="91"/>
      <c r="I156" s="91"/>
      <c r="J156" s="92"/>
      <c r="K156" s="93">
        <f t="shared" si="9"/>
        <v>0</v>
      </c>
    </row>
    <row r="157" spans="1:11" ht="21" customHeight="1" x14ac:dyDescent="0.3">
      <c r="A157" s="89" t="str">
        <f t="shared" si="8"/>
        <v/>
      </c>
      <c r="B157" s="90"/>
      <c r="C157" s="90"/>
      <c r="D157" s="129"/>
      <c r="E157" s="129"/>
      <c r="F157" s="90"/>
      <c r="G157" s="90"/>
      <c r="H157" s="91"/>
      <c r="I157" s="91"/>
      <c r="J157" s="92"/>
      <c r="K157" s="93">
        <f t="shared" si="9"/>
        <v>0</v>
      </c>
    </row>
    <row r="158" spans="1:11" ht="21" customHeight="1" x14ac:dyDescent="0.3">
      <c r="A158" s="89" t="str">
        <f t="shared" si="8"/>
        <v/>
      </c>
      <c r="B158" s="90"/>
      <c r="C158" s="90"/>
      <c r="D158" s="129"/>
      <c r="E158" s="129"/>
      <c r="F158" s="90"/>
      <c r="G158" s="90"/>
      <c r="H158" s="91"/>
      <c r="I158" s="91"/>
      <c r="J158" s="92"/>
      <c r="K158" s="93">
        <f t="shared" si="9"/>
        <v>0</v>
      </c>
    </row>
    <row r="159" spans="1:11" ht="21" customHeight="1" x14ac:dyDescent="0.3">
      <c r="A159" s="89" t="str">
        <f t="shared" si="8"/>
        <v/>
      </c>
      <c r="B159" s="90"/>
      <c r="C159" s="90"/>
      <c r="D159" s="129"/>
      <c r="E159" s="129"/>
      <c r="F159" s="90"/>
      <c r="G159" s="90"/>
      <c r="H159" s="91"/>
      <c r="I159" s="91"/>
      <c r="J159" s="92"/>
      <c r="K159" s="93">
        <f t="shared" si="9"/>
        <v>0</v>
      </c>
    </row>
    <row r="160" spans="1:11" ht="21" customHeight="1" x14ac:dyDescent="0.3">
      <c r="A160" s="89" t="str">
        <f t="shared" si="8"/>
        <v/>
      </c>
      <c r="B160" s="90"/>
      <c r="C160" s="90"/>
      <c r="D160" s="129"/>
      <c r="E160" s="129"/>
      <c r="F160" s="90"/>
      <c r="G160" s="90"/>
      <c r="H160" s="91"/>
      <c r="I160" s="91"/>
      <c r="J160" s="92"/>
      <c r="K160" s="93">
        <f t="shared" si="9"/>
        <v>0</v>
      </c>
    </row>
    <row r="161" spans="1:11" ht="21" customHeight="1" x14ac:dyDescent="0.3">
      <c r="A161" s="89" t="str">
        <f t="shared" si="8"/>
        <v/>
      </c>
      <c r="B161" s="90"/>
      <c r="C161" s="90"/>
      <c r="D161" s="129"/>
      <c r="E161" s="129"/>
      <c r="F161" s="90"/>
      <c r="G161" s="90"/>
      <c r="H161" s="91"/>
      <c r="I161" s="91"/>
      <c r="J161" s="92"/>
      <c r="K161" s="93">
        <f t="shared" si="9"/>
        <v>0</v>
      </c>
    </row>
    <row r="162" spans="1:11" ht="21" customHeight="1" x14ac:dyDescent="0.3">
      <c r="A162" s="89" t="str">
        <f t="shared" si="8"/>
        <v/>
      </c>
      <c r="B162" s="90"/>
      <c r="C162" s="90"/>
      <c r="D162" s="129"/>
      <c r="E162" s="129"/>
      <c r="F162" s="90"/>
      <c r="G162" s="90"/>
      <c r="H162" s="91"/>
      <c r="I162" s="91"/>
      <c r="J162" s="92"/>
      <c r="K162" s="93">
        <f t="shared" si="9"/>
        <v>0</v>
      </c>
    </row>
    <row r="163" spans="1:11" ht="21" customHeight="1" x14ac:dyDescent="0.3">
      <c r="A163" s="89" t="str">
        <f t="shared" si="8"/>
        <v/>
      </c>
      <c r="B163" s="90"/>
      <c r="C163" s="90"/>
      <c r="D163" s="129"/>
      <c r="E163" s="129"/>
      <c r="F163" s="90"/>
      <c r="G163" s="90"/>
      <c r="H163" s="91"/>
      <c r="I163" s="91"/>
      <c r="J163" s="92"/>
      <c r="K163" s="93">
        <f t="shared" si="9"/>
        <v>0</v>
      </c>
    </row>
    <row r="164" spans="1:11" ht="21" customHeight="1" x14ac:dyDescent="0.3">
      <c r="A164" s="89" t="str">
        <f t="shared" si="8"/>
        <v/>
      </c>
      <c r="B164" s="90"/>
      <c r="C164" s="90"/>
      <c r="D164" s="129"/>
      <c r="E164" s="129"/>
      <c r="F164" s="90"/>
      <c r="G164" s="90"/>
      <c r="H164" s="91"/>
      <c r="I164" s="91"/>
      <c r="J164" s="92"/>
      <c r="K164" s="93">
        <f t="shared" si="9"/>
        <v>0</v>
      </c>
    </row>
    <row r="165" spans="1:11" ht="21" customHeight="1" x14ac:dyDescent="0.3">
      <c r="A165" s="89" t="str">
        <f t="shared" si="8"/>
        <v/>
      </c>
      <c r="B165" s="90"/>
      <c r="C165" s="90"/>
      <c r="D165" s="129"/>
      <c r="E165" s="129"/>
      <c r="F165" s="90"/>
      <c r="G165" s="90"/>
      <c r="H165" s="91"/>
      <c r="I165" s="91"/>
      <c r="J165" s="92"/>
      <c r="K165" s="93">
        <f t="shared" si="9"/>
        <v>0</v>
      </c>
    </row>
    <row r="166" spans="1:11" ht="21" customHeight="1" x14ac:dyDescent="0.3">
      <c r="A166" s="89" t="str">
        <f t="shared" si="8"/>
        <v/>
      </c>
      <c r="B166" s="90"/>
      <c r="C166" s="90"/>
      <c r="D166" s="129"/>
      <c r="E166" s="129"/>
      <c r="F166" s="90"/>
      <c r="G166" s="90"/>
      <c r="H166" s="91"/>
      <c r="I166" s="91"/>
      <c r="J166" s="92"/>
      <c r="K166" s="93">
        <f t="shared" si="9"/>
        <v>0</v>
      </c>
    </row>
    <row r="167" spans="1:11" ht="21" customHeight="1" x14ac:dyDescent="0.3">
      <c r="A167" s="89" t="str">
        <f t="shared" si="8"/>
        <v/>
      </c>
      <c r="B167" s="90"/>
      <c r="C167" s="90"/>
      <c r="D167" s="129"/>
      <c r="E167" s="129"/>
      <c r="F167" s="90"/>
      <c r="G167" s="90"/>
      <c r="H167" s="91"/>
      <c r="I167" s="91"/>
      <c r="J167" s="92"/>
      <c r="K167" s="93">
        <f t="shared" si="9"/>
        <v>0</v>
      </c>
    </row>
    <row r="168" spans="1:11" ht="21" customHeight="1" x14ac:dyDescent="0.3">
      <c r="A168" s="89" t="str">
        <f t="shared" si="8"/>
        <v/>
      </c>
      <c r="B168" s="90"/>
      <c r="C168" s="90"/>
      <c r="D168" s="129"/>
      <c r="E168" s="129"/>
      <c r="F168" s="90"/>
      <c r="G168" s="90"/>
      <c r="H168" s="91"/>
      <c r="I168" s="91"/>
      <c r="J168" s="92"/>
      <c r="K168" s="93">
        <f t="shared" si="9"/>
        <v>0</v>
      </c>
    </row>
    <row r="169" spans="1:11" ht="21" customHeight="1" x14ac:dyDescent="0.3">
      <c r="A169" s="89" t="str">
        <f t="shared" si="8"/>
        <v/>
      </c>
      <c r="B169" s="90"/>
      <c r="C169" s="90"/>
      <c r="D169" s="129"/>
      <c r="E169" s="129"/>
      <c r="F169" s="90"/>
      <c r="G169" s="90"/>
      <c r="H169" s="91"/>
      <c r="I169" s="91"/>
      <c r="J169" s="92"/>
      <c r="K169" s="93">
        <f t="shared" si="9"/>
        <v>0</v>
      </c>
    </row>
    <row r="170" spans="1:11" ht="21" customHeight="1" x14ac:dyDescent="0.3">
      <c r="A170" s="89" t="str">
        <f t="shared" ref="A170:A201" si="10">IF(B170="","",IF(NOT(ISBLANK(B170)),IF(OR(WEEKDAY(DATE($C$3,$C$4,$B170))=1,WEEKDAY(DATE($C$3,$C$4,$B170))=2),1,0),""))</f>
        <v/>
      </c>
      <c r="B170" s="90"/>
      <c r="C170" s="90"/>
      <c r="D170" s="129"/>
      <c r="E170" s="129"/>
      <c r="F170" s="90"/>
      <c r="G170" s="90"/>
      <c r="H170" s="91"/>
      <c r="I170" s="91"/>
      <c r="J170" s="92"/>
      <c r="K170" s="93">
        <f t="shared" ref="K170:K201" si="11">IFERROR(H170*J170+I170*J170*1.5,"")</f>
        <v>0</v>
      </c>
    </row>
    <row r="171" spans="1:11" ht="21" customHeight="1" x14ac:dyDescent="0.3">
      <c r="A171" s="89" t="str">
        <f t="shared" si="10"/>
        <v/>
      </c>
      <c r="B171" s="90"/>
      <c r="C171" s="90"/>
      <c r="D171" s="129"/>
      <c r="E171" s="129"/>
      <c r="F171" s="90"/>
      <c r="G171" s="90"/>
      <c r="H171" s="91"/>
      <c r="I171" s="91"/>
      <c r="J171" s="92"/>
      <c r="K171" s="93">
        <f t="shared" si="11"/>
        <v>0</v>
      </c>
    </row>
    <row r="172" spans="1:11" ht="21" customHeight="1" x14ac:dyDescent="0.3">
      <c r="A172" s="89" t="str">
        <f t="shared" si="10"/>
        <v/>
      </c>
      <c r="B172" s="90"/>
      <c r="C172" s="90"/>
      <c r="D172" s="129"/>
      <c r="E172" s="129"/>
      <c r="F172" s="90"/>
      <c r="G172" s="90"/>
      <c r="H172" s="91"/>
      <c r="I172" s="91"/>
      <c r="J172" s="92"/>
      <c r="K172" s="93">
        <f t="shared" si="11"/>
        <v>0</v>
      </c>
    </row>
    <row r="173" spans="1:11" ht="21" customHeight="1" x14ac:dyDescent="0.3">
      <c r="A173" s="89" t="str">
        <f t="shared" si="10"/>
        <v/>
      </c>
      <c r="B173" s="90"/>
      <c r="C173" s="90"/>
      <c r="D173" s="129"/>
      <c r="E173" s="129"/>
      <c r="F173" s="90"/>
      <c r="G173" s="90"/>
      <c r="H173" s="91"/>
      <c r="I173" s="91"/>
      <c r="J173" s="92"/>
      <c r="K173" s="93">
        <f t="shared" si="11"/>
        <v>0</v>
      </c>
    </row>
    <row r="174" spans="1:11" ht="21" customHeight="1" x14ac:dyDescent="0.3">
      <c r="A174" s="89" t="str">
        <f t="shared" si="10"/>
        <v/>
      </c>
      <c r="B174" s="90"/>
      <c r="C174" s="90"/>
      <c r="D174" s="129"/>
      <c r="E174" s="129"/>
      <c r="F174" s="90"/>
      <c r="G174" s="90"/>
      <c r="H174" s="91"/>
      <c r="I174" s="91"/>
      <c r="J174" s="92"/>
      <c r="K174" s="93">
        <f t="shared" si="11"/>
        <v>0</v>
      </c>
    </row>
    <row r="175" spans="1:11" ht="21" customHeight="1" x14ac:dyDescent="0.3">
      <c r="A175" s="89" t="str">
        <f t="shared" si="10"/>
        <v/>
      </c>
      <c r="B175" s="90"/>
      <c r="C175" s="90"/>
      <c r="D175" s="129"/>
      <c r="E175" s="129"/>
      <c r="F175" s="90"/>
      <c r="G175" s="90"/>
      <c r="H175" s="91"/>
      <c r="I175" s="91"/>
      <c r="J175" s="92"/>
      <c r="K175" s="93">
        <f t="shared" si="11"/>
        <v>0</v>
      </c>
    </row>
    <row r="176" spans="1:11" ht="21" customHeight="1" x14ac:dyDescent="0.3">
      <c r="A176" s="89" t="str">
        <f t="shared" si="10"/>
        <v/>
      </c>
      <c r="B176" s="90"/>
      <c r="C176" s="90"/>
      <c r="D176" s="129"/>
      <c r="E176" s="129"/>
      <c r="F176" s="90"/>
      <c r="G176" s="90"/>
      <c r="H176" s="91"/>
      <c r="I176" s="91"/>
      <c r="J176" s="92"/>
      <c r="K176" s="93">
        <f t="shared" si="11"/>
        <v>0</v>
      </c>
    </row>
    <row r="177" spans="1:11" ht="21" customHeight="1" x14ac:dyDescent="0.3">
      <c r="A177" s="89" t="str">
        <f t="shared" si="10"/>
        <v/>
      </c>
      <c r="B177" s="90"/>
      <c r="C177" s="90"/>
      <c r="D177" s="129"/>
      <c r="E177" s="129"/>
      <c r="F177" s="90"/>
      <c r="G177" s="90"/>
      <c r="H177" s="91"/>
      <c r="I177" s="91"/>
      <c r="J177" s="92"/>
      <c r="K177" s="93">
        <f t="shared" si="11"/>
        <v>0</v>
      </c>
    </row>
    <row r="178" spans="1:11" ht="21" customHeight="1" x14ac:dyDescent="0.3">
      <c r="A178" s="89" t="str">
        <f t="shared" si="10"/>
        <v/>
      </c>
      <c r="B178" s="90"/>
      <c r="C178" s="90"/>
      <c r="D178" s="129"/>
      <c r="E178" s="129"/>
      <c r="F178" s="90"/>
      <c r="G178" s="90"/>
      <c r="H178" s="91"/>
      <c r="I178" s="91"/>
      <c r="J178" s="92"/>
      <c r="K178" s="93">
        <f t="shared" si="11"/>
        <v>0</v>
      </c>
    </row>
    <row r="179" spans="1:11" ht="21" customHeight="1" x14ac:dyDescent="0.3">
      <c r="A179" s="89" t="str">
        <f t="shared" si="10"/>
        <v/>
      </c>
      <c r="B179" s="90"/>
      <c r="C179" s="90"/>
      <c r="D179" s="129"/>
      <c r="E179" s="129"/>
      <c r="F179" s="90"/>
      <c r="G179" s="90"/>
      <c r="H179" s="91"/>
      <c r="I179" s="91"/>
      <c r="J179" s="92"/>
      <c r="K179" s="93">
        <f t="shared" si="11"/>
        <v>0</v>
      </c>
    </row>
    <row r="180" spans="1:11" ht="21" customHeight="1" x14ac:dyDescent="0.3">
      <c r="A180" s="89" t="str">
        <f t="shared" si="10"/>
        <v/>
      </c>
      <c r="B180" s="90"/>
      <c r="C180" s="90"/>
      <c r="D180" s="129"/>
      <c r="E180" s="129"/>
      <c r="F180" s="90"/>
      <c r="G180" s="90"/>
      <c r="H180" s="91"/>
      <c r="I180" s="91"/>
      <c r="J180" s="92"/>
      <c r="K180" s="93">
        <f t="shared" si="11"/>
        <v>0</v>
      </c>
    </row>
    <row r="181" spans="1:11" ht="21" customHeight="1" x14ac:dyDescent="0.3">
      <c r="A181" s="89" t="str">
        <f t="shared" si="10"/>
        <v/>
      </c>
      <c r="B181" s="90"/>
      <c r="C181" s="90"/>
      <c r="D181" s="129"/>
      <c r="E181" s="129"/>
      <c r="F181" s="90"/>
      <c r="G181" s="90"/>
      <c r="H181" s="91"/>
      <c r="I181" s="91"/>
      <c r="J181" s="92"/>
      <c r="K181" s="93">
        <f t="shared" si="11"/>
        <v>0</v>
      </c>
    </row>
    <row r="182" spans="1:11" ht="21" customHeight="1" x14ac:dyDescent="0.3">
      <c r="A182" s="89" t="str">
        <f t="shared" si="10"/>
        <v/>
      </c>
      <c r="B182" s="90"/>
      <c r="C182" s="90"/>
      <c r="D182" s="129"/>
      <c r="E182" s="129"/>
      <c r="F182" s="90"/>
      <c r="G182" s="90"/>
      <c r="H182" s="91"/>
      <c r="I182" s="91"/>
      <c r="J182" s="92"/>
      <c r="K182" s="93">
        <f t="shared" si="11"/>
        <v>0</v>
      </c>
    </row>
    <row r="183" spans="1:11" ht="21" customHeight="1" x14ac:dyDescent="0.3">
      <c r="A183" s="89" t="str">
        <f t="shared" si="10"/>
        <v/>
      </c>
      <c r="B183" s="90"/>
      <c r="C183" s="90"/>
      <c r="D183" s="129"/>
      <c r="E183" s="129"/>
      <c r="F183" s="90"/>
      <c r="G183" s="90"/>
      <c r="H183" s="91"/>
      <c r="I183" s="91"/>
      <c r="J183" s="92"/>
      <c r="K183" s="93">
        <f t="shared" si="11"/>
        <v>0</v>
      </c>
    </row>
    <row r="184" spans="1:11" ht="21" customHeight="1" x14ac:dyDescent="0.3">
      <c r="A184" s="89" t="str">
        <f t="shared" si="10"/>
        <v/>
      </c>
      <c r="B184" s="90"/>
      <c r="C184" s="90"/>
      <c r="D184" s="129"/>
      <c r="E184" s="129"/>
      <c r="F184" s="90"/>
      <c r="G184" s="90"/>
      <c r="H184" s="91"/>
      <c r="I184" s="91"/>
      <c r="J184" s="92"/>
      <c r="K184" s="93">
        <f t="shared" si="11"/>
        <v>0</v>
      </c>
    </row>
    <row r="185" spans="1:11" ht="21" customHeight="1" x14ac:dyDescent="0.3">
      <c r="A185" s="89" t="str">
        <f t="shared" si="10"/>
        <v/>
      </c>
      <c r="B185" s="90"/>
      <c r="C185" s="90"/>
      <c r="D185" s="129"/>
      <c r="E185" s="129"/>
      <c r="F185" s="90"/>
      <c r="G185" s="90"/>
      <c r="H185" s="91"/>
      <c r="I185" s="91"/>
      <c r="J185" s="92"/>
      <c r="K185" s="93">
        <f t="shared" si="11"/>
        <v>0</v>
      </c>
    </row>
    <row r="186" spans="1:11" ht="21" customHeight="1" x14ac:dyDescent="0.3">
      <c r="A186" s="89" t="str">
        <f t="shared" si="10"/>
        <v/>
      </c>
      <c r="B186" s="90"/>
      <c r="C186" s="90"/>
      <c r="D186" s="129"/>
      <c r="E186" s="129"/>
      <c r="F186" s="90"/>
      <c r="G186" s="90"/>
      <c r="H186" s="91"/>
      <c r="I186" s="91"/>
      <c r="J186" s="92"/>
      <c r="K186" s="93">
        <f t="shared" si="11"/>
        <v>0</v>
      </c>
    </row>
    <row r="187" spans="1:11" ht="21" customHeight="1" x14ac:dyDescent="0.3">
      <c r="A187" s="89" t="str">
        <f t="shared" si="10"/>
        <v/>
      </c>
      <c r="B187" s="90"/>
      <c r="C187" s="90"/>
      <c r="D187" s="129"/>
      <c r="E187" s="129"/>
      <c r="F187" s="90"/>
      <c r="G187" s="90"/>
      <c r="H187" s="91"/>
      <c r="I187" s="91"/>
      <c r="J187" s="92"/>
      <c r="K187" s="93">
        <f t="shared" si="11"/>
        <v>0</v>
      </c>
    </row>
    <row r="188" spans="1:11" ht="21" customHeight="1" x14ac:dyDescent="0.3">
      <c r="A188" s="89" t="str">
        <f t="shared" si="10"/>
        <v/>
      </c>
      <c r="B188" s="90"/>
      <c r="C188" s="90"/>
      <c r="D188" s="129"/>
      <c r="E188" s="129"/>
      <c r="F188" s="90"/>
      <c r="G188" s="90"/>
      <c r="H188" s="91"/>
      <c r="I188" s="91"/>
      <c r="J188" s="92"/>
      <c r="K188" s="93">
        <f t="shared" si="11"/>
        <v>0</v>
      </c>
    </row>
    <row r="189" spans="1:11" ht="21" customHeight="1" x14ac:dyDescent="0.3">
      <c r="A189" s="89" t="str">
        <f t="shared" si="10"/>
        <v/>
      </c>
      <c r="B189" s="90"/>
      <c r="C189" s="90"/>
      <c r="D189" s="129"/>
      <c r="E189" s="129"/>
      <c r="F189" s="90"/>
      <c r="G189" s="90"/>
      <c r="H189" s="91"/>
      <c r="I189" s="91"/>
      <c r="J189" s="92"/>
      <c r="K189" s="93">
        <f t="shared" si="11"/>
        <v>0</v>
      </c>
    </row>
    <row r="190" spans="1:11" ht="21" customHeight="1" x14ac:dyDescent="0.3">
      <c r="A190" s="89" t="str">
        <f t="shared" si="10"/>
        <v/>
      </c>
      <c r="B190" s="90"/>
      <c r="C190" s="90"/>
      <c r="D190" s="129"/>
      <c r="E190" s="129"/>
      <c r="F190" s="90"/>
      <c r="G190" s="90"/>
      <c r="H190" s="91"/>
      <c r="I190" s="91"/>
      <c r="J190" s="92"/>
      <c r="K190" s="93">
        <f t="shared" si="11"/>
        <v>0</v>
      </c>
    </row>
    <row r="191" spans="1:11" ht="21" customHeight="1" x14ac:dyDescent="0.3">
      <c r="A191" s="89" t="str">
        <f t="shared" si="10"/>
        <v/>
      </c>
      <c r="B191" s="90"/>
      <c r="C191" s="90"/>
      <c r="D191" s="129"/>
      <c r="E191" s="129"/>
      <c r="F191" s="90"/>
      <c r="G191" s="90"/>
      <c r="H191" s="91"/>
      <c r="I191" s="91"/>
      <c r="J191" s="92"/>
      <c r="K191" s="93">
        <f t="shared" si="11"/>
        <v>0</v>
      </c>
    </row>
    <row r="192" spans="1:11" ht="21" customHeight="1" x14ac:dyDescent="0.3">
      <c r="A192" s="89" t="str">
        <f t="shared" si="10"/>
        <v/>
      </c>
      <c r="B192" s="90"/>
      <c r="C192" s="90"/>
      <c r="D192" s="129"/>
      <c r="E192" s="129"/>
      <c r="F192" s="90"/>
      <c r="G192" s="90"/>
      <c r="H192" s="91"/>
      <c r="I192" s="91"/>
      <c r="J192" s="92"/>
      <c r="K192" s="93">
        <f t="shared" si="11"/>
        <v>0</v>
      </c>
    </row>
    <row r="193" spans="1:11" ht="21" customHeight="1" x14ac:dyDescent="0.3">
      <c r="A193" s="89" t="str">
        <f t="shared" si="10"/>
        <v/>
      </c>
      <c r="B193" s="90"/>
      <c r="C193" s="90"/>
      <c r="D193" s="129"/>
      <c r="E193" s="129"/>
      <c r="F193" s="90"/>
      <c r="G193" s="90"/>
      <c r="H193" s="91"/>
      <c r="I193" s="91"/>
      <c r="J193" s="92"/>
      <c r="K193" s="93">
        <f t="shared" si="11"/>
        <v>0</v>
      </c>
    </row>
    <row r="194" spans="1:11" ht="21" customHeight="1" x14ac:dyDescent="0.3">
      <c r="A194" s="89" t="str">
        <f t="shared" si="10"/>
        <v/>
      </c>
      <c r="B194" s="90"/>
      <c r="C194" s="90"/>
      <c r="D194" s="129"/>
      <c r="E194" s="129"/>
      <c r="F194" s="90"/>
      <c r="G194" s="90"/>
      <c r="H194" s="91"/>
      <c r="I194" s="91"/>
      <c r="J194" s="92"/>
      <c r="K194" s="93">
        <f t="shared" si="11"/>
        <v>0</v>
      </c>
    </row>
    <row r="195" spans="1:11" ht="21" customHeight="1" x14ac:dyDescent="0.3">
      <c r="A195" s="89" t="str">
        <f t="shared" si="10"/>
        <v/>
      </c>
      <c r="B195" s="90"/>
      <c r="C195" s="90"/>
      <c r="D195" s="129"/>
      <c r="E195" s="129"/>
      <c r="F195" s="90"/>
      <c r="G195" s="90"/>
      <c r="H195" s="91"/>
      <c r="I195" s="91"/>
      <c r="J195" s="92"/>
      <c r="K195" s="93">
        <f t="shared" si="11"/>
        <v>0</v>
      </c>
    </row>
    <row r="196" spans="1:11" ht="21" customHeight="1" x14ac:dyDescent="0.3">
      <c r="A196" s="89" t="str">
        <f t="shared" si="10"/>
        <v/>
      </c>
      <c r="B196" s="90"/>
      <c r="C196" s="90"/>
      <c r="D196" s="129"/>
      <c r="E196" s="129"/>
      <c r="F196" s="90"/>
      <c r="G196" s="90"/>
      <c r="H196" s="91"/>
      <c r="I196" s="91"/>
      <c r="J196" s="92"/>
      <c r="K196" s="93">
        <f t="shared" si="11"/>
        <v>0</v>
      </c>
    </row>
    <row r="197" spans="1:11" ht="21" customHeight="1" x14ac:dyDescent="0.3">
      <c r="A197" s="89" t="str">
        <f t="shared" si="10"/>
        <v/>
      </c>
      <c r="B197" s="90"/>
      <c r="C197" s="90"/>
      <c r="D197" s="129"/>
      <c r="E197" s="129"/>
      <c r="F197" s="90"/>
      <c r="G197" s="90"/>
      <c r="H197" s="91"/>
      <c r="I197" s="91"/>
      <c r="J197" s="92"/>
      <c r="K197" s="93">
        <f t="shared" si="11"/>
        <v>0</v>
      </c>
    </row>
    <row r="198" spans="1:11" ht="21" customHeight="1" x14ac:dyDescent="0.3">
      <c r="A198" s="89" t="str">
        <f t="shared" si="10"/>
        <v/>
      </c>
      <c r="B198" s="90"/>
      <c r="C198" s="90"/>
      <c r="D198" s="129"/>
      <c r="E198" s="129"/>
      <c r="F198" s="90"/>
      <c r="G198" s="90"/>
      <c r="H198" s="91"/>
      <c r="I198" s="91"/>
      <c r="J198" s="92"/>
      <c r="K198" s="93">
        <f t="shared" si="11"/>
        <v>0</v>
      </c>
    </row>
    <row r="199" spans="1:11" ht="21" customHeight="1" x14ac:dyDescent="0.3">
      <c r="A199" s="89" t="str">
        <f t="shared" si="10"/>
        <v/>
      </c>
      <c r="B199" s="90"/>
      <c r="C199" s="90"/>
      <c r="D199" s="129"/>
      <c r="E199" s="129"/>
      <c r="F199" s="90"/>
      <c r="G199" s="90"/>
      <c r="H199" s="91"/>
      <c r="I199" s="91"/>
      <c r="J199" s="92"/>
      <c r="K199" s="93">
        <f t="shared" si="11"/>
        <v>0</v>
      </c>
    </row>
    <row r="200" spans="1:11" ht="21" customHeight="1" x14ac:dyDescent="0.3">
      <c r="A200" s="89" t="str">
        <f t="shared" si="10"/>
        <v/>
      </c>
      <c r="B200" s="90"/>
      <c r="C200" s="90"/>
      <c r="D200" s="129"/>
      <c r="E200" s="129"/>
      <c r="F200" s="90"/>
      <c r="G200" s="90"/>
      <c r="H200" s="91"/>
      <c r="I200" s="91"/>
      <c r="J200" s="92"/>
      <c r="K200" s="93">
        <f t="shared" si="11"/>
        <v>0</v>
      </c>
    </row>
    <row r="201" spans="1:11" ht="21" customHeight="1" x14ac:dyDescent="0.3">
      <c r="A201" s="89" t="str">
        <f t="shared" si="10"/>
        <v/>
      </c>
      <c r="B201" s="90"/>
      <c r="C201" s="90"/>
      <c r="D201" s="129"/>
      <c r="E201" s="129"/>
      <c r="F201" s="90"/>
      <c r="G201" s="90"/>
      <c r="H201" s="91"/>
      <c r="I201" s="91"/>
      <c r="J201" s="92"/>
      <c r="K201" s="93">
        <f t="shared" si="11"/>
        <v>0</v>
      </c>
    </row>
    <row r="202" spans="1:11" ht="21" customHeight="1" x14ac:dyDescent="0.3">
      <c r="A202" s="89" t="str">
        <f t="shared" ref="A202:A233" si="12">IF(B202="","",IF(NOT(ISBLANK(B202)),IF(OR(WEEKDAY(DATE($C$3,$C$4,$B202))=1,WEEKDAY(DATE($C$3,$C$4,$B202))=2),1,0),""))</f>
        <v/>
      </c>
      <c r="B202" s="90"/>
      <c r="C202" s="90"/>
      <c r="D202" s="129"/>
      <c r="E202" s="129"/>
      <c r="F202" s="90"/>
      <c r="G202" s="90"/>
      <c r="H202" s="91"/>
      <c r="I202" s="91"/>
      <c r="J202" s="92"/>
      <c r="K202" s="93">
        <f t="shared" ref="K202:K233" si="13">IFERROR(H202*J202+I202*J202*1.5,"")</f>
        <v>0</v>
      </c>
    </row>
    <row r="203" spans="1:11" ht="21" customHeight="1" x14ac:dyDescent="0.3">
      <c r="A203" s="89" t="str">
        <f t="shared" si="12"/>
        <v/>
      </c>
      <c r="B203" s="90"/>
      <c r="C203" s="90"/>
      <c r="D203" s="129"/>
      <c r="E203" s="129"/>
      <c r="F203" s="90"/>
      <c r="G203" s="90"/>
      <c r="H203" s="91"/>
      <c r="I203" s="91"/>
      <c r="J203" s="92"/>
      <c r="K203" s="93">
        <f t="shared" si="13"/>
        <v>0</v>
      </c>
    </row>
    <row r="204" spans="1:11" ht="21" customHeight="1" x14ac:dyDescent="0.3">
      <c r="A204" s="89" t="str">
        <f t="shared" si="12"/>
        <v/>
      </c>
      <c r="B204" s="90"/>
      <c r="C204" s="90"/>
      <c r="D204" s="129"/>
      <c r="E204" s="129"/>
      <c r="F204" s="90"/>
      <c r="G204" s="90"/>
      <c r="H204" s="91"/>
      <c r="I204" s="91"/>
      <c r="J204" s="92"/>
      <c r="K204" s="93">
        <f t="shared" si="13"/>
        <v>0</v>
      </c>
    </row>
    <row r="205" spans="1:11" ht="21" customHeight="1" x14ac:dyDescent="0.3">
      <c r="A205" s="89" t="str">
        <f t="shared" si="12"/>
        <v/>
      </c>
      <c r="B205" s="90"/>
      <c r="C205" s="90"/>
      <c r="D205" s="129"/>
      <c r="E205" s="129"/>
      <c r="F205" s="90"/>
      <c r="G205" s="90"/>
      <c r="H205" s="91"/>
      <c r="I205" s="91"/>
      <c r="J205" s="92"/>
      <c r="K205" s="93">
        <f t="shared" si="13"/>
        <v>0</v>
      </c>
    </row>
    <row r="206" spans="1:11" ht="21" customHeight="1" x14ac:dyDescent="0.3">
      <c r="A206" s="89" t="str">
        <f t="shared" si="12"/>
        <v/>
      </c>
      <c r="B206" s="90"/>
      <c r="C206" s="90"/>
      <c r="D206" s="129"/>
      <c r="E206" s="129"/>
      <c r="F206" s="90"/>
      <c r="G206" s="90"/>
      <c r="H206" s="91"/>
      <c r="I206" s="91"/>
      <c r="J206" s="92"/>
      <c r="K206" s="93">
        <f t="shared" si="13"/>
        <v>0</v>
      </c>
    </row>
    <row r="207" spans="1:11" ht="21" customHeight="1" x14ac:dyDescent="0.3">
      <c r="A207" s="89" t="str">
        <f t="shared" si="12"/>
        <v/>
      </c>
      <c r="B207" s="90"/>
      <c r="C207" s="90"/>
      <c r="D207" s="129"/>
      <c r="E207" s="129"/>
      <c r="F207" s="90"/>
      <c r="G207" s="90"/>
      <c r="H207" s="91"/>
      <c r="I207" s="91"/>
      <c r="J207" s="92"/>
      <c r="K207" s="93">
        <f t="shared" si="13"/>
        <v>0</v>
      </c>
    </row>
    <row r="208" spans="1:11" ht="21" customHeight="1" x14ac:dyDescent="0.3">
      <c r="A208" s="89" t="str">
        <f t="shared" si="12"/>
        <v/>
      </c>
      <c r="B208" s="90"/>
      <c r="C208" s="90"/>
      <c r="D208" s="129"/>
      <c r="E208" s="129"/>
      <c r="F208" s="90"/>
      <c r="G208" s="90"/>
      <c r="H208" s="91"/>
      <c r="I208" s="91"/>
      <c r="J208" s="92"/>
      <c r="K208" s="93">
        <f t="shared" si="13"/>
        <v>0</v>
      </c>
    </row>
    <row r="209" spans="1:11" ht="21" customHeight="1" x14ac:dyDescent="0.3">
      <c r="A209" s="89" t="str">
        <f t="shared" si="12"/>
        <v/>
      </c>
      <c r="B209" s="90"/>
      <c r="C209" s="90"/>
      <c r="D209" s="129"/>
      <c r="E209" s="129"/>
      <c r="F209" s="90"/>
      <c r="G209" s="90"/>
      <c r="H209" s="91"/>
      <c r="I209" s="91"/>
      <c r="J209" s="92"/>
      <c r="K209" s="93">
        <f t="shared" si="13"/>
        <v>0</v>
      </c>
    </row>
    <row r="210" spans="1:11" ht="24" customHeight="1" x14ac:dyDescent="0.3">
      <c r="A210" s="130" t="s">
        <v>94</v>
      </c>
      <c r="B210" s="130"/>
      <c r="C210" s="130"/>
      <c r="D210" s="130"/>
      <c r="E210" s="130"/>
      <c r="F210" s="130"/>
      <c r="G210" s="130"/>
      <c r="H210" s="94">
        <f>SUM(H10:H209)</f>
        <v>0</v>
      </c>
      <c r="I210" s="94">
        <f>SUM(I10:I209)</f>
        <v>0</v>
      </c>
      <c r="J210" s="95"/>
      <c r="K210" s="96">
        <f>SUM(K10:K209)</f>
        <v>0</v>
      </c>
    </row>
    <row r="211" spans="1:11" ht="7.5" customHeight="1" x14ac:dyDescent="0.3"/>
    <row r="212" spans="1:11" ht="19.5" customHeight="1" x14ac:dyDescent="0.3">
      <c r="A212" s="131" t="s">
        <v>260</v>
      </c>
      <c r="B212" s="131"/>
      <c r="C212" s="131"/>
      <c r="D212" s="131"/>
      <c r="E212" s="131"/>
      <c r="F212" s="131"/>
      <c r="G212" s="131"/>
      <c r="H212" s="131"/>
      <c r="I212" s="131"/>
      <c r="J212" s="131"/>
      <c r="K212" s="131"/>
    </row>
    <row r="213" spans="1:11" ht="18" customHeight="1" x14ac:dyDescent="0.3">
      <c r="A213" s="132" t="s">
        <v>245</v>
      </c>
      <c r="B213" s="132"/>
      <c r="C213" s="132" t="s">
        <v>247</v>
      </c>
      <c r="D213" s="132"/>
      <c r="E213" s="132" t="s">
        <v>256</v>
      </c>
      <c r="F213" s="132"/>
      <c r="G213" s="132" t="s">
        <v>257</v>
      </c>
      <c r="H213" s="132"/>
      <c r="I213" s="97" t="s">
        <v>261</v>
      </c>
      <c r="J213" s="132" t="s">
        <v>262</v>
      </c>
      <c r="K213" s="132"/>
    </row>
    <row r="214" spans="1:11" ht="18" customHeight="1" x14ac:dyDescent="0.3">
      <c r="A214" s="133"/>
      <c r="B214" s="133"/>
      <c r="C214" s="133"/>
      <c r="D214" s="133"/>
      <c r="E214" s="133"/>
      <c r="F214" s="133"/>
      <c r="G214" s="133"/>
      <c r="H214" s="133"/>
      <c r="I214" s="98"/>
      <c r="J214" s="133"/>
      <c r="K214" s="133"/>
    </row>
    <row r="215" spans="1:11" ht="18" customHeight="1" x14ac:dyDescent="0.3">
      <c r="A215" s="134"/>
      <c r="B215" s="134"/>
      <c r="C215" s="134"/>
      <c r="D215" s="134"/>
      <c r="E215" s="134"/>
      <c r="F215" s="134"/>
      <c r="G215" s="134"/>
      <c r="H215" s="134"/>
      <c r="I215" s="99"/>
      <c r="J215" s="134"/>
      <c r="K215" s="134"/>
    </row>
    <row r="216" spans="1:11" ht="18" customHeight="1" x14ac:dyDescent="0.3">
      <c r="A216" s="133"/>
      <c r="B216" s="133"/>
      <c r="C216" s="133"/>
      <c r="D216" s="133"/>
      <c r="E216" s="133"/>
      <c r="F216" s="133"/>
      <c r="G216" s="133"/>
      <c r="H216" s="133"/>
      <c r="I216" s="98"/>
      <c r="J216" s="133"/>
      <c r="K216" s="133"/>
    </row>
    <row r="217" spans="1:11" ht="18" customHeight="1" x14ac:dyDescent="0.3">
      <c r="A217" s="134"/>
      <c r="B217" s="134"/>
      <c r="C217" s="134"/>
      <c r="D217" s="134"/>
      <c r="E217" s="134"/>
      <c r="F217" s="134"/>
      <c r="G217" s="134"/>
      <c r="H217" s="134"/>
      <c r="I217" s="99"/>
      <c r="J217" s="134"/>
      <c r="K217" s="134"/>
    </row>
    <row r="218" spans="1:11" ht="18" customHeight="1" x14ac:dyDescent="0.3">
      <c r="A218" s="133"/>
      <c r="B218" s="133"/>
      <c r="C218" s="133"/>
      <c r="D218" s="133"/>
      <c r="E218" s="133"/>
      <c r="F218" s="133"/>
      <c r="G218" s="133"/>
      <c r="H218" s="133"/>
      <c r="I218" s="98"/>
      <c r="J218" s="133"/>
      <c r="K218" s="133"/>
    </row>
    <row r="219" spans="1:11" ht="18" customHeight="1" x14ac:dyDescent="0.3">
      <c r="A219" s="134"/>
      <c r="B219" s="134"/>
      <c r="C219" s="134"/>
      <c r="D219" s="134"/>
      <c r="E219" s="134"/>
      <c r="F219" s="134"/>
      <c r="G219" s="134"/>
      <c r="H219" s="134"/>
      <c r="I219" s="99"/>
      <c r="J219" s="134"/>
      <c r="K219" s="134"/>
    </row>
    <row r="220" spans="1:11" ht="18" customHeight="1" x14ac:dyDescent="0.3">
      <c r="A220" s="133"/>
      <c r="B220" s="133"/>
      <c r="C220" s="133"/>
      <c r="D220" s="133"/>
      <c r="E220" s="133"/>
      <c r="F220" s="133"/>
      <c r="G220" s="133"/>
      <c r="H220" s="133"/>
      <c r="I220" s="98"/>
      <c r="J220" s="133"/>
      <c r="K220" s="133"/>
    </row>
    <row r="221" spans="1:11" ht="18" customHeight="1" x14ac:dyDescent="0.3">
      <c r="A221" s="134"/>
      <c r="B221" s="134"/>
      <c r="C221" s="134"/>
      <c r="D221" s="134"/>
      <c r="E221" s="134"/>
      <c r="F221" s="134"/>
      <c r="G221" s="134"/>
      <c r="H221" s="134"/>
      <c r="I221" s="99"/>
      <c r="J221" s="134"/>
      <c r="K221" s="134"/>
    </row>
  </sheetData>
  <mergeCells count="253">
    <mergeCell ref="A221:B221"/>
    <mergeCell ref="C221:D221"/>
    <mergeCell ref="E221:F221"/>
    <mergeCell ref="G221:H221"/>
    <mergeCell ref="J221:K221"/>
    <mergeCell ref="A219:B219"/>
    <mergeCell ref="C219:D219"/>
    <mergeCell ref="E219:F219"/>
    <mergeCell ref="G219:H219"/>
    <mergeCell ref="J219:K219"/>
    <mergeCell ref="A220:B220"/>
    <mergeCell ref="C220:D220"/>
    <mergeCell ref="E220:F220"/>
    <mergeCell ref="G220:H220"/>
    <mergeCell ref="J220:K220"/>
    <mergeCell ref="A217:B217"/>
    <mergeCell ref="C217:D217"/>
    <mergeCell ref="E217:F217"/>
    <mergeCell ref="G217:H217"/>
    <mergeCell ref="J217:K217"/>
    <mergeCell ref="A218:B218"/>
    <mergeCell ref="C218:D218"/>
    <mergeCell ref="E218:F218"/>
    <mergeCell ref="G218:H218"/>
    <mergeCell ref="J218:K218"/>
    <mergeCell ref="A215:B215"/>
    <mergeCell ref="C215:D215"/>
    <mergeCell ref="E215:F215"/>
    <mergeCell ref="G215:H215"/>
    <mergeCell ref="J215:K215"/>
    <mergeCell ref="A216:B216"/>
    <mergeCell ref="C216:D216"/>
    <mergeCell ref="E216:F216"/>
    <mergeCell ref="G216:H216"/>
    <mergeCell ref="J216:K216"/>
    <mergeCell ref="A212:K212"/>
    <mergeCell ref="A213:B213"/>
    <mergeCell ref="C213:D213"/>
    <mergeCell ref="E213:F213"/>
    <mergeCell ref="G213:H213"/>
    <mergeCell ref="J213:K213"/>
    <mergeCell ref="A214:B214"/>
    <mergeCell ref="C214:D214"/>
    <mergeCell ref="E214:F214"/>
    <mergeCell ref="G214:H214"/>
    <mergeCell ref="J214:K214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A210:G210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A1:C2"/>
    <mergeCell ref="D1:K2"/>
    <mergeCell ref="L1:M1"/>
    <mergeCell ref="L2:M2"/>
    <mergeCell ref="I4:I7"/>
    <mergeCell ref="D9:E9"/>
    <mergeCell ref="D10:E10"/>
    <mergeCell ref="D11:E11"/>
    <mergeCell ref="D12:E12"/>
  </mergeCells>
  <pageMargins left="0.75" right="0.75" top="1" bottom="1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Projetos</vt:lpstr>
      <vt:lpstr>Orcamentos</vt:lpstr>
      <vt:lpstr>Mao de Obra</vt:lpstr>
      <vt:lpstr>Materiais</vt:lpstr>
      <vt:lpstr>Faturas</vt:lpstr>
      <vt:lpstr>Proposta Obra</vt:lpstr>
      <vt:lpstr>Folha Horas Obra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João Miguel Pinto Castro</cp:lastModifiedBy>
  <cp:revision>0</cp:revision>
  <dcterms:created xsi:type="dcterms:W3CDTF">2026-05-05T18:57:23Z</dcterms:created>
  <dcterms:modified xsi:type="dcterms:W3CDTF">2026-05-07T16:43:31Z</dcterms:modified>
  <dc:language>en-US</dc:language>
</cp:coreProperties>
</file>