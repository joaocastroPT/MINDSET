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36f760cd2ef29e19/M7Sound/3. Operações/3.1 Projetos/3.1.1 PA 2026/"/>
    </mc:Choice>
  </mc:AlternateContent>
  <xr:revisionPtr revIDLastSave="79" documentId="13_ncr:1_{62A8EAC2-A9B3-47DB-941B-D4B8C91B52D3}" xr6:coauthVersionLast="47" xr6:coauthVersionMax="47" xr10:uidLastSave="{E47DF112-B564-41F8-A57C-B2A54D41CD5E}"/>
  <bookViews>
    <workbookView xWindow="-108" yWindow="-108" windowWidth="23256" windowHeight="12456" activeTab="5" xr2:uid="{6BDA245B-7F08-4106-9877-04075AC688CB}"/>
  </bookViews>
  <sheets>
    <sheet name="Drivers" sheetId="2" r:id="rId1"/>
    <sheet name="Amplificação" sheetId="5" r:id="rId2"/>
    <sheet name="Totais" sheetId="6" r:id="rId3"/>
    <sheet name="Takesound" sheetId="3" r:id="rId4"/>
    <sheet name="Madeira" sheetId="4" r:id="rId5"/>
    <sheet name="ferramenta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6" l="1"/>
  <c r="B9" i="7"/>
  <c r="E11" i="5"/>
  <c r="E6" i="5"/>
  <c r="E10" i="5"/>
  <c r="E3" i="5"/>
  <c r="H9" i="3"/>
  <c r="D3" i="3"/>
  <c r="F3" i="3" s="1"/>
  <c r="H3" i="3" s="1"/>
  <c r="H15" i="3" s="1"/>
  <c r="C4" i="6" s="1"/>
  <c r="H14" i="3"/>
  <c r="H6" i="3"/>
  <c r="I18" i="4"/>
  <c r="S17" i="4"/>
  <c r="I17" i="4"/>
  <c r="R4" i="4"/>
  <c r="D14" i="3"/>
  <c r="E9" i="3"/>
  <c r="F9" i="3" s="1"/>
  <c r="F6" i="3"/>
  <c r="D6" i="3"/>
  <c r="D9" i="3"/>
  <c r="S19" i="2"/>
  <c r="J19" i="2"/>
  <c r="J20" i="2"/>
  <c r="S6" i="2"/>
  <c r="J7" i="2"/>
  <c r="J6" i="2"/>
  <c r="F14" i="3" l="1"/>
  <c r="C5" i="6"/>
  <c r="C9" i="6"/>
</calcChain>
</file>

<file path=xl/sharedStrings.xml><?xml version="1.0" encoding="utf-8"?>
<sst xmlns="http://schemas.openxmlformats.org/spreadsheetml/2006/main" count="188" uniqueCount="95">
  <si>
    <t>SUBS</t>
  </si>
  <si>
    <t>KICK</t>
  </si>
  <si>
    <t>Equipamento</t>
  </si>
  <si>
    <t>Modelo</t>
  </si>
  <si>
    <t>Drivers</t>
  </si>
  <si>
    <t>Qt.</t>
  </si>
  <si>
    <t>Tamanho</t>
  </si>
  <si>
    <t xml:space="preserve">Potência </t>
  </si>
  <si>
    <t>Frequencia</t>
  </si>
  <si>
    <t>Impedância</t>
  </si>
  <si>
    <t>Preço p/u</t>
  </si>
  <si>
    <t>Preço total</t>
  </si>
  <si>
    <t>https://file.notion.so/f/f/f698a6e4-5e74-4e8d-ba68-845642efd915/941145de-f552-49b6-8e80-93997f142457/VSB218.pdf?table=block&amp;id=68ec74ed-e73c-4eeb-99db-a03130806d04&amp;spaceId=f698a6e4-5e74-4e8d-ba68-845642efd915&amp;expirationTimestamp=1764122400000&amp;signature=zKxO9mnDzF4XXXYTKOGr3LV5ZVn5oSV6EX182-MKQ1w&amp;downloadName=VSB218.pdf</t>
  </si>
  <si>
    <t>VSB218</t>
  </si>
  <si>
    <t>Turbosound TS-18SW700/8A</t>
  </si>
  <si>
    <t>18'</t>
  </si>
  <si>
    <t>700 W</t>
  </si>
  <si>
    <t>Paraflex C-2D 1x10”</t>
  </si>
  <si>
    <t xml:space="preserve">Eighteensound 10NMB420 </t>
  </si>
  <si>
    <t>12'</t>
  </si>
  <si>
    <t>65 - 5000 Hz</t>
  </si>
  <si>
    <t>18Sound 18ND9300</t>
  </si>
  <si>
    <t>1000 W</t>
  </si>
  <si>
    <t>28 - 2500Hz</t>
  </si>
  <si>
    <t>MID HORN</t>
  </si>
  <si>
    <t>HIGH</t>
  </si>
  <si>
    <t>Fane mid OU MT130</t>
  </si>
  <si>
    <t>18Sound 10M600</t>
  </si>
  <si>
    <t>600 W</t>
  </si>
  <si>
    <t>80 - 5200Hz</t>
  </si>
  <si>
    <t>TB2V4</t>
  </si>
  <si>
    <t>4 Beyma CP22</t>
  </si>
  <si>
    <t>4'</t>
  </si>
  <si>
    <t>25 W</t>
  </si>
  <si>
    <t>4000 - 20,000Hz</t>
  </si>
  <si>
    <t>copyright</t>
  </si>
  <si>
    <t>Amplificadores</t>
  </si>
  <si>
    <t>Potência</t>
  </si>
  <si>
    <t>Preço  p/u</t>
  </si>
  <si>
    <t>qt.</t>
  </si>
  <si>
    <t>Behringer NX6000D</t>
  </si>
  <si>
    <t>2x 3000 a 4ohm</t>
  </si>
  <si>
    <t>Acessorios</t>
  </si>
  <si>
    <t>mesa de som</t>
  </si>
  <si>
    <t>Cabos ST</t>
  </si>
  <si>
    <t>4x10m+2x3m+4x1m</t>
  </si>
  <si>
    <t>Rack</t>
  </si>
  <si>
    <t>quadro eletrico/Proteções</t>
  </si>
  <si>
    <t>3x16A</t>
  </si>
  <si>
    <t>Case</t>
  </si>
  <si>
    <t>Total:</t>
  </si>
  <si>
    <t>Totais</t>
  </si>
  <si>
    <t>Madeira</t>
  </si>
  <si>
    <t>Amplificação</t>
  </si>
  <si>
    <t>Ferramenta</t>
  </si>
  <si>
    <t>Extras</t>
  </si>
  <si>
    <t>P/caixa</t>
  </si>
  <si>
    <t>Nº caixas</t>
  </si>
  <si>
    <t>Total</t>
  </si>
  <si>
    <t>Desconto takesound</t>
  </si>
  <si>
    <t>Total c/desconto</t>
  </si>
  <si>
    <t>18Sound 18ND9300 (equivalente)</t>
  </si>
  <si>
    <t>Beyma 12MC500 ou 18Sound 12MB1000</t>
  </si>
  <si>
    <t>MID/HORN</t>
  </si>
  <si>
    <t>corneta?</t>
  </si>
  <si>
    <t>Beyma CP22 (4' | 4000 - 20,000Hz | 25W)</t>
  </si>
  <si>
    <t>Total Drivers:</t>
  </si>
  <si>
    <t>MADEIRA</t>
  </si>
  <si>
    <t>Descrição</t>
  </si>
  <si>
    <t>Material</t>
  </si>
  <si>
    <t>Comprimento (cm)</t>
  </si>
  <si>
    <t>Largura (cm)</t>
  </si>
  <si>
    <t>QT</t>
  </si>
  <si>
    <t>Espessura (mm)</t>
  </si>
  <si>
    <t>Comprimento (mm)</t>
  </si>
  <si>
    <t>Lados</t>
  </si>
  <si>
    <t>Carvalho</t>
  </si>
  <si>
    <t>X</t>
  </si>
  <si>
    <t>Topo e chao</t>
  </si>
  <si>
    <t>Costas</t>
  </si>
  <si>
    <t>lados interior</t>
  </si>
  <si>
    <t>Cantos interiores</t>
  </si>
  <si>
    <t>extra</t>
  </si>
  <si>
    <t>cantos exteriores</t>
  </si>
  <si>
    <t>Frente</t>
  </si>
  <si>
    <t>Ferramenta:</t>
  </si>
  <si>
    <t>Preço</t>
  </si>
  <si>
    <t>Fornecedor</t>
  </si>
  <si>
    <t>Serra de Mesa Einhell c/ Bancada TC-TS 2025/2 U 2000W 250MM</t>
  </si>
  <si>
    <t>https://www.hilarioalves.com/pt/serra-de-mesa-einhell-c-bancada-tc-ts-2025-2-u-2000w-250mm/p-25759?gad_source=1&amp;gad_campaignid=20818162730&amp;gbraid=0AAAAAD6k5RDbb6OMnLZwcaz9l_Cezv9zX</t>
  </si>
  <si>
    <t>Fresadora/Roteador elétrica a cabo, 230 V, 1100 W, 4,7 Amperes</t>
  </si>
  <si>
    <t>https://www.amazon.es/dp/B00DEXXCXW/ref=asc_df_B00DEXXCXW?mcid=410e258ea2893e02b7b452b2aafcd0c1&amp;language=pt_PT&amp;hvadid=718310952447&amp;hvpos=&amp;hvnetw=g&amp;hvrand=4397846507676033613&amp;hvpone=&amp;hvptwo=&amp;hvqmt=&amp;hvdev=c&amp;hvdvcmdl=&amp;hvlocint=&amp;hvlocphy=9209882&amp;hvtargid=pla-421487703814</t>
  </si>
  <si>
    <t>Agrafador Pregador Einhell TC-PN 50</t>
  </si>
  <si>
    <t>https://www.armazensreis.pt/pt/compressores-e-ar-comprimido/agrafador-pregador-einhell-tc-pn-50_p18299.html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</si>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</sst>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_-* #,##0\ &quot;€&quot;_-;\-* #,##0\ &quot;€&quot;_-;_-* &quot;-&quot;??\ &quot;€&quot;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0" fontId="0" fillId="0" borderId="1" xfId="0" applyBorder="1"/>
    <xf numFmtId="44" fontId="0" fillId="0" borderId="0" xfId="1" applyFont="1"/>
    <xf numFmtId="0" fontId="2" fillId="0" borderId="0" xfId="2"/>
    <xf numFmtId="44" fontId="0" fillId="0" borderId="0" xfId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165" fontId="0" fillId="0" borderId="3" xfId="1" applyNumberFormat="1" applyFont="1" applyBorder="1"/>
    <xf numFmtId="0" fontId="0" fillId="0" borderId="3" xfId="0" applyBorder="1"/>
    <xf numFmtId="44" fontId="0" fillId="0" borderId="6" xfId="1" applyFont="1" applyBorder="1"/>
    <xf numFmtId="44" fontId="0" fillId="0" borderId="7" xfId="1" applyFont="1" applyBorder="1"/>
    <xf numFmtId="0" fontId="0" fillId="0" borderId="8" xfId="0" applyBorder="1"/>
    <xf numFmtId="0" fontId="0" fillId="0" borderId="9" xfId="0" applyBorder="1"/>
    <xf numFmtId="44" fontId="0" fillId="0" borderId="10" xfId="1" applyFont="1" applyBorder="1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44" fontId="0" fillId="0" borderId="12" xfId="1" applyFont="1" applyBorder="1"/>
    <xf numFmtId="0" fontId="0" fillId="0" borderId="13" xfId="0" applyBorder="1"/>
    <xf numFmtId="44" fontId="0" fillId="0" borderId="0" xfId="1" applyFont="1" applyBorder="1"/>
    <xf numFmtId="0" fontId="0" fillId="0" borderId="14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44" fontId="0" fillId="0" borderId="16" xfId="1" applyFont="1" applyBorder="1"/>
    <xf numFmtId="0" fontId="0" fillId="0" borderId="16" xfId="0" applyBorder="1"/>
    <xf numFmtId="44" fontId="0" fillId="0" borderId="13" xfId="1" applyFont="1" applyBorder="1"/>
    <xf numFmtId="0" fontId="0" fillId="0" borderId="20" xfId="0" applyBorder="1"/>
    <xf numFmtId="0" fontId="0" fillId="3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44" fontId="0" fillId="3" borderId="12" xfId="1" applyFont="1" applyFill="1" applyBorder="1"/>
    <xf numFmtId="44" fontId="0" fillId="2" borderId="3" xfId="1" applyFont="1" applyFill="1" applyBorder="1"/>
    <xf numFmtId="44" fontId="0" fillId="2" borderId="25" xfId="1" applyFont="1" applyFill="1" applyBorder="1"/>
    <xf numFmtId="0" fontId="0" fillId="0" borderId="26" xfId="0" applyBorder="1"/>
    <xf numFmtId="0" fontId="0" fillId="3" borderId="27" xfId="0" applyFill="1" applyBorder="1"/>
    <xf numFmtId="0" fontId="0" fillId="0" borderId="27" xfId="0" applyBorder="1"/>
    <xf numFmtId="0" fontId="0" fillId="3" borderId="28" xfId="0" applyFill="1" applyBorder="1"/>
    <xf numFmtId="0" fontId="0" fillId="2" borderId="29" xfId="0" applyFill="1" applyBorder="1"/>
    <xf numFmtId="0" fontId="0" fillId="3" borderId="30" xfId="0" applyFill="1" applyBorder="1"/>
    <xf numFmtId="0" fontId="0" fillId="0" borderId="29" xfId="0" applyBorder="1"/>
    <xf numFmtId="44" fontId="0" fillId="3" borderId="30" xfId="0" applyNumberFormat="1" applyFill="1" applyBorder="1"/>
    <xf numFmtId="44" fontId="0" fillId="3" borderId="7" xfId="0" applyNumberFormat="1" applyFill="1" applyBorder="1"/>
    <xf numFmtId="0" fontId="0" fillId="3" borderId="10" xfId="0" applyFill="1" applyBorder="1"/>
    <xf numFmtId="0" fontId="0" fillId="3" borderId="31" xfId="0" applyFill="1" applyBorder="1"/>
    <xf numFmtId="0" fontId="0" fillId="2" borderId="32" xfId="0" applyFill="1" applyBorder="1"/>
    <xf numFmtId="0" fontId="0" fillId="3" borderId="7" xfId="0" applyFill="1" applyBorder="1"/>
    <xf numFmtId="0" fontId="0" fillId="0" borderId="33" xfId="0" applyBorder="1" applyAlignment="1">
      <alignment wrapText="1"/>
    </xf>
    <xf numFmtId="0" fontId="0" fillId="3" borderId="34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3" borderId="24" xfId="0" applyFill="1" applyBorder="1" applyAlignment="1">
      <alignment horizontal="center"/>
    </xf>
    <xf numFmtId="44" fontId="0" fillId="0" borderId="35" xfId="1" applyFont="1" applyBorder="1"/>
    <xf numFmtId="44" fontId="0" fillId="3" borderId="36" xfId="1" applyFont="1" applyFill="1" applyBorder="1"/>
    <xf numFmtId="0" fontId="0" fillId="0" borderId="36" xfId="0" applyBorder="1"/>
    <xf numFmtId="44" fontId="0" fillId="3" borderId="37" xfId="0" applyNumberFormat="1" applyFill="1" applyBorder="1"/>
    <xf numFmtId="0" fontId="0" fillId="2" borderId="26" xfId="0" applyFill="1" applyBorder="1"/>
    <xf numFmtId="0" fontId="0" fillId="0" borderId="38" xfId="0" applyBorder="1"/>
    <xf numFmtId="0" fontId="0" fillId="0" borderId="34" xfId="0" applyBorder="1"/>
    <xf numFmtId="44" fontId="0" fillId="0" borderId="22" xfId="1" applyFont="1" applyBorder="1"/>
    <xf numFmtId="0" fontId="0" fillId="3" borderId="13" xfId="0" applyFill="1" applyBorder="1"/>
    <xf numFmtId="0" fontId="0" fillId="3" borderId="14" xfId="0" applyFill="1" applyBorder="1"/>
    <xf numFmtId="0" fontId="0" fillId="0" borderId="32" xfId="0" applyBorder="1"/>
    <xf numFmtId="0" fontId="0" fillId="3" borderId="40" xfId="0" applyFill="1" applyBorder="1"/>
    <xf numFmtId="0" fontId="0" fillId="3" borderId="15" xfId="0" applyFill="1" applyBorder="1" applyAlignment="1">
      <alignment horizontal="center"/>
    </xf>
    <xf numFmtId="0" fontId="0" fillId="0" borderId="40" xfId="0" applyBorder="1"/>
    <xf numFmtId="44" fontId="0" fillId="3" borderId="16" xfId="1" applyFont="1" applyFill="1" applyBorder="1"/>
    <xf numFmtId="0" fontId="0" fillId="3" borderId="6" xfId="0" applyFill="1" applyBorder="1"/>
    <xf numFmtId="0" fontId="0" fillId="0" borderId="19" xfId="0" applyBorder="1"/>
    <xf numFmtId="0" fontId="0" fillId="0" borderId="15" xfId="0" applyBorder="1"/>
    <xf numFmtId="44" fontId="0" fillId="3" borderId="21" xfId="1" applyFont="1" applyFill="1" applyBorder="1"/>
    <xf numFmtId="44" fontId="0" fillId="3" borderId="18" xfId="1" applyFont="1" applyFill="1" applyBorder="1"/>
    <xf numFmtId="44" fontId="0" fillId="0" borderId="40" xfId="1" applyFont="1" applyBorder="1"/>
    <xf numFmtId="0" fontId="0" fillId="3" borderId="40" xfId="0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44" fontId="0" fillId="3" borderId="40" xfId="1" applyFont="1" applyFill="1" applyBorder="1"/>
    <xf numFmtId="44" fontId="0" fillId="3" borderId="28" xfId="1" applyFont="1" applyFill="1" applyBorder="1"/>
    <xf numFmtId="44" fontId="0" fillId="3" borderId="30" xfId="1" applyFont="1" applyFill="1" applyBorder="1"/>
    <xf numFmtId="44" fontId="0" fillId="3" borderId="10" xfId="1" applyFont="1" applyFill="1" applyBorder="1"/>
    <xf numFmtId="44" fontId="0" fillId="3" borderId="6" xfId="1" applyFont="1" applyFill="1" applyBorder="1"/>
    <xf numFmtId="44" fontId="0" fillId="3" borderId="39" xfId="1" applyFont="1" applyFill="1" applyBorder="1"/>
    <xf numFmtId="44" fontId="0" fillId="3" borderId="27" xfId="1" applyFont="1" applyFill="1" applyBorder="1"/>
    <xf numFmtId="44" fontId="0" fillId="3" borderId="17" xfId="1" applyFont="1" applyFill="1" applyBorder="1"/>
    <xf numFmtId="44" fontId="0" fillId="3" borderId="34" xfId="1" applyFont="1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right"/>
    </xf>
    <xf numFmtId="0" fontId="2" fillId="0" borderId="0" xfId="3"/>
  </cellXfs>
  <cellStyles count="4">
    <cellStyle name="Hiperligação" xfId="2" builtinId="8"/>
    <cellStyle name="Hyperlink" xfId="3" xr:uid="{00000000-000B-0000-0000-000008000000}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ile.notion.so/f/f/f698a6e4-5e74-4e8d-ba68-845642efd915/941145de-f552-49b6-8e80-93997f142457/VSB218.pdf?table=block&amp;id=68ec74ed-e73c-4eeb-99db-a03130806d04&amp;spaceId=f698a6e4-5e74-4e8d-ba68-845642efd915&amp;expirationTimestamp=1764122400000&amp;signature=zKxO9mnDzF4XXXYTKOGr3LV5ZVn5oSV6EX182-MKQ1w&amp;downloadName=VSB218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rmazensreis.pt/pt/compressores-e-ar-comprimido/agrafador-pregador-einhell-tc-pn-50_p18299.html" TargetMode="External"/><Relationship Id="rId2" Type="http://schemas.openxmlformats.org/officeDocument/2006/relationships/hyperlink" Target="https://www.amazon.es/dp/B00DEXXCXW/ref=asc_df_B00DEXXCXW?mcid=410e258ea2893e02b7b452b2aafcd0c1&amp;language=pt_PT&amp;hvadid=718310952447&amp;hvpos=&amp;hvnetw=g&amp;hvrand=4397846507676033613&amp;hvpone=&amp;hvptwo=&amp;hvqmt=&amp;hvdev=c&amp;hvdvcmdl=&amp;hvlocint=&amp;hvlocphy=9209882&amp;hvtargid=pla-421487703814" TargetMode="External"/><Relationship Id="rId1" Type="http://schemas.openxmlformats.org/officeDocument/2006/relationships/hyperlink" Target="https://www.hilarioalves.com/pt/serra-de-mesa-einhell-c-bancada-tc-ts-2025-2-u-2000w-250mm/p-25759?gad_source=1&amp;gad_campaignid=20818162730&amp;gbraid=0AAAAAD6k5RDbb6OMnLZwcaz9l_Cezv9z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1702-77B9-44F9-92C2-56EA19043A81}">
  <dimension ref="A1:S37"/>
  <sheetViews>
    <sheetView zoomScale="85" zoomScaleNormal="85" workbookViewId="0">
      <selection activeCell="B19" sqref="B19:B20"/>
    </sheetView>
  </sheetViews>
  <sheetFormatPr defaultRowHeight="14.45"/>
  <cols>
    <col min="2" max="2" width="18.140625" bestFit="1" customWidth="1"/>
    <col min="3" max="3" width="25" style="11" bestFit="1" customWidth="1"/>
    <col min="4" max="6" width="8.85546875" style="2"/>
    <col min="7" max="7" width="10.42578125" style="3" bestFit="1" customWidth="1"/>
    <col min="8" max="8" width="15.7109375" bestFit="1" customWidth="1"/>
    <col min="9" max="9" width="18" bestFit="1" customWidth="1"/>
    <col min="10" max="10" width="17.28515625" bestFit="1" customWidth="1"/>
    <col min="11" max="11" width="17.7109375" bestFit="1" customWidth="1"/>
    <col min="12" max="12" width="25" bestFit="1" customWidth="1"/>
    <col min="13" max="13" width="8.85546875" style="1"/>
    <col min="14" max="14" width="9.28515625" style="5" bestFit="1" customWidth="1"/>
    <col min="15" max="15" width="10.5703125" style="5" bestFit="1" customWidth="1"/>
    <col min="16" max="16" width="14.42578125" style="5" bestFit="1" customWidth="1"/>
    <col min="17" max="17" width="12.28515625" bestFit="1" customWidth="1"/>
    <col min="18" max="19" width="9.7109375" bestFit="1" customWidth="1"/>
  </cols>
  <sheetData>
    <row r="1" spans="1:19">
      <c r="D1" s="97"/>
      <c r="E1" s="97"/>
      <c r="F1" s="97"/>
      <c r="G1"/>
      <c r="H1" s="4"/>
      <c r="N1"/>
      <c r="O1"/>
      <c r="P1"/>
    </row>
    <row r="2" spans="1:19">
      <c r="B2" s="97"/>
      <c r="C2" s="12"/>
      <c r="D2" s="97"/>
      <c r="E2" s="97"/>
      <c r="F2" s="97"/>
      <c r="G2" s="99"/>
      <c r="H2" s="98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</row>
    <row r="3" spans="1:19">
      <c r="B3" s="100" t="s">
        <v>0</v>
      </c>
      <c r="C3" s="100"/>
      <c r="D3" s="100"/>
      <c r="E3" s="100"/>
      <c r="F3" s="100"/>
      <c r="G3" s="100"/>
      <c r="H3" s="100"/>
      <c r="I3" s="100"/>
      <c r="J3" s="101"/>
      <c r="K3" s="102" t="s">
        <v>1</v>
      </c>
      <c r="L3" s="100"/>
      <c r="M3" s="100"/>
      <c r="N3" s="100"/>
      <c r="O3" s="100"/>
      <c r="P3" s="100"/>
      <c r="Q3" s="100"/>
      <c r="R3" s="100"/>
      <c r="S3" s="100"/>
    </row>
    <row r="4" spans="1:19">
      <c r="B4" s="97"/>
      <c r="C4" s="100" t="s">
        <v>2</v>
      </c>
      <c r="D4" s="100"/>
      <c r="E4" s="100"/>
      <c r="F4" s="100"/>
      <c r="G4" s="100"/>
      <c r="H4" s="100"/>
      <c r="I4" s="99"/>
      <c r="J4" s="98"/>
      <c r="K4" s="97"/>
      <c r="L4" s="97"/>
      <c r="M4" s="97"/>
      <c r="N4" s="97"/>
      <c r="O4" s="97"/>
      <c r="P4" s="97"/>
      <c r="Q4" s="97"/>
      <c r="R4" s="97"/>
      <c r="S4" s="97"/>
    </row>
    <row r="5" spans="1:19">
      <c r="B5" s="97" t="s">
        <v>3</v>
      </c>
      <c r="C5" s="97" t="s">
        <v>4</v>
      </c>
      <c r="D5" s="97" t="s">
        <v>5</v>
      </c>
      <c r="E5" s="97" t="s">
        <v>6</v>
      </c>
      <c r="F5" s="97" t="s">
        <v>7</v>
      </c>
      <c r="G5" s="99" t="s">
        <v>8</v>
      </c>
      <c r="H5" s="7" t="s">
        <v>9</v>
      </c>
      <c r="I5" s="99" t="s">
        <v>10</v>
      </c>
      <c r="J5" s="98" t="s">
        <v>11</v>
      </c>
      <c r="K5" s="97" t="s">
        <v>3</v>
      </c>
      <c r="L5" s="97" t="s">
        <v>4</v>
      </c>
      <c r="M5" s="97" t="s">
        <v>5</v>
      </c>
      <c r="N5" s="97" t="s">
        <v>6</v>
      </c>
      <c r="O5" s="97" t="s">
        <v>7</v>
      </c>
      <c r="P5" s="99" t="s">
        <v>8</v>
      </c>
      <c r="Q5" s="8" t="s">
        <v>9</v>
      </c>
      <c r="R5" s="99" t="s">
        <v>10</v>
      </c>
      <c r="S5" s="98" t="s">
        <v>11</v>
      </c>
    </row>
    <row r="6" spans="1:19">
      <c r="A6" s="6" t="s">
        <v>12</v>
      </c>
      <c r="B6" s="100" t="s">
        <v>13</v>
      </c>
      <c r="C6" s="12" t="s">
        <v>14</v>
      </c>
      <c r="D6" s="97">
        <v>2</v>
      </c>
      <c r="E6" s="97" t="s">
        <v>15</v>
      </c>
      <c r="F6" s="97" t="s">
        <v>16</v>
      </c>
      <c r="G6" s="99"/>
      <c r="H6" s="97"/>
      <c r="I6" s="99">
        <v>199</v>
      </c>
      <c r="J6" s="9">
        <f>I6*D6</f>
        <v>398</v>
      </c>
      <c r="K6" s="97" t="s">
        <v>17</v>
      </c>
      <c r="L6" s="97" t="s">
        <v>18</v>
      </c>
      <c r="M6" s="97">
        <v>1</v>
      </c>
      <c r="N6" s="97" t="s">
        <v>19</v>
      </c>
      <c r="O6" s="97">
        <v>600</v>
      </c>
      <c r="P6" s="99" t="s">
        <v>20</v>
      </c>
      <c r="Q6" s="8">
        <v>8</v>
      </c>
      <c r="R6" s="7">
        <v>299</v>
      </c>
      <c r="S6" s="7">
        <f>R6*M6</f>
        <v>299</v>
      </c>
    </row>
    <row r="7" spans="1:19">
      <c r="B7" s="100"/>
      <c r="C7" s="12" t="s">
        <v>21</v>
      </c>
      <c r="D7" s="97">
        <v>2</v>
      </c>
      <c r="E7" s="97" t="s">
        <v>15</v>
      </c>
      <c r="F7" s="97" t="s">
        <v>22</v>
      </c>
      <c r="G7" s="99" t="s">
        <v>23</v>
      </c>
      <c r="H7" s="8">
        <v>8</v>
      </c>
      <c r="I7" s="99">
        <v>379</v>
      </c>
      <c r="J7" s="9">
        <f>I7*D7</f>
        <v>758</v>
      </c>
      <c r="K7" s="97"/>
      <c r="L7" s="97"/>
      <c r="M7" s="97"/>
      <c r="N7" s="97"/>
      <c r="O7" s="97"/>
      <c r="P7" s="7"/>
      <c r="Q7" s="8"/>
      <c r="R7" s="7"/>
      <c r="S7" s="7"/>
    </row>
    <row r="8" spans="1:19">
      <c r="B8" s="97"/>
      <c r="C8" s="12"/>
      <c r="D8" s="97"/>
      <c r="E8" s="97"/>
      <c r="F8" s="97"/>
      <c r="G8" s="99"/>
      <c r="H8" s="97">
        <v>4</v>
      </c>
      <c r="I8" s="99">
        <v>279</v>
      </c>
      <c r="J8" s="98"/>
      <c r="K8" s="97"/>
      <c r="L8" s="97"/>
      <c r="M8" s="97"/>
      <c r="N8" s="97"/>
      <c r="O8" s="97"/>
      <c r="P8" s="7"/>
      <c r="Q8" s="8"/>
      <c r="R8" s="7"/>
      <c r="S8" s="7"/>
    </row>
    <row r="9" spans="1:19">
      <c r="B9" s="97"/>
      <c r="C9" s="12"/>
      <c r="D9" s="97"/>
      <c r="E9" s="97"/>
      <c r="F9" s="97"/>
      <c r="G9" s="99"/>
      <c r="H9" s="97"/>
      <c r="I9" s="99"/>
      <c r="J9" s="98"/>
      <c r="K9" s="97"/>
      <c r="L9" s="97"/>
      <c r="M9" s="97"/>
      <c r="N9" s="97"/>
      <c r="O9" s="97"/>
      <c r="P9" s="7"/>
      <c r="Q9" s="8"/>
      <c r="R9" s="7"/>
      <c r="S9" s="7"/>
    </row>
    <row r="10" spans="1:19">
      <c r="B10" s="97"/>
      <c r="C10" s="12"/>
      <c r="D10" s="97"/>
      <c r="E10" s="97"/>
      <c r="F10" s="97"/>
      <c r="G10" s="99"/>
      <c r="H10" s="97"/>
      <c r="I10" s="99"/>
      <c r="J10" s="98"/>
      <c r="K10" s="97"/>
      <c r="L10" s="97"/>
      <c r="M10" s="97"/>
      <c r="N10" s="97"/>
      <c r="O10" s="97"/>
      <c r="P10" s="7"/>
      <c r="Q10" s="8"/>
      <c r="R10" s="7"/>
      <c r="S10" s="7"/>
    </row>
    <row r="11" spans="1:19">
      <c r="B11" s="97"/>
      <c r="C11" s="12"/>
      <c r="D11" s="97"/>
      <c r="E11" s="97"/>
      <c r="F11" s="97"/>
      <c r="G11" s="99"/>
      <c r="H11" s="97"/>
      <c r="I11" s="99"/>
      <c r="J11" s="98"/>
      <c r="K11" s="97"/>
      <c r="L11" s="97"/>
      <c r="M11" s="97"/>
      <c r="N11" s="97"/>
      <c r="O11" s="97"/>
      <c r="P11" s="7"/>
      <c r="Q11" s="8"/>
      <c r="R11" s="7"/>
      <c r="S11" s="7"/>
    </row>
    <row r="12" spans="1:19">
      <c r="B12" s="97"/>
      <c r="C12" s="12"/>
      <c r="D12" s="97"/>
      <c r="E12" s="97"/>
      <c r="F12" s="97"/>
      <c r="G12" s="99"/>
      <c r="H12" s="97"/>
      <c r="I12" s="99"/>
      <c r="J12" s="98"/>
      <c r="K12" s="97"/>
      <c r="L12" s="97"/>
      <c r="M12" s="97"/>
      <c r="N12" s="97"/>
      <c r="O12" s="97"/>
      <c r="P12" s="7"/>
      <c r="Q12" s="8"/>
      <c r="R12" s="7"/>
      <c r="S12" s="7"/>
    </row>
    <row r="13" spans="1:19">
      <c r="B13" s="97"/>
      <c r="C13" s="12"/>
      <c r="D13" s="97"/>
      <c r="E13" s="97"/>
      <c r="F13" s="97"/>
      <c r="G13" s="99"/>
      <c r="H13" s="97"/>
      <c r="I13" s="99"/>
      <c r="J13" s="98"/>
      <c r="K13" s="97"/>
      <c r="L13" s="97"/>
      <c r="M13" s="97"/>
      <c r="N13" s="97"/>
      <c r="O13" s="97"/>
      <c r="P13" s="7"/>
      <c r="Q13" s="8"/>
      <c r="R13" s="7"/>
      <c r="S13" s="7"/>
    </row>
    <row r="14" spans="1:19">
      <c r="B14" s="97"/>
      <c r="C14" s="12"/>
      <c r="D14" s="97"/>
      <c r="E14" s="97"/>
      <c r="F14" s="97"/>
      <c r="G14" s="99"/>
      <c r="H14" s="97"/>
      <c r="I14" s="99"/>
      <c r="J14" s="98"/>
      <c r="K14" s="97"/>
      <c r="L14" s="97"/>
      <c r="M14" s="97"/>
      <c r="N14" s="97"/>
      <c r="O14" s="97"/>
      <c r="P14" s="7"/>
      <c r="Q14" s="8"/>
      <c r="R14" s="7"/>
      <c r="S14" s="7"/>
    </row>
    <row r="15" spans="1:19">
      <c r="B15" s="97"/>
      <c r="C15" s="12"/>
      <c r="D15" s="97"/>
      <c r="E15" s="97"/>
      <c r="F15" s="97"/>
      <c r="G15" s="99"/>
      <c r="H15" s="97"/>
      <c r="I15" s="99"/>
      <c r="J15" s="98"/>
      <c r="K15" s="97"/>
      <c r="L15" s="97"/>
      <c r="M15" s="97"/>
      <c r="N15" s="97"/>
      <c r="O15" s="97"/>
      <c r="P15" s="7"/>
      <c r="Q15" s="8"/>
      <c r="R15" s="7"/>
      <c r="S15" s="7"/>
    </row>
    <row r="16" spans="1:19">
      <c r="B16" s="100" t="s">
        <v>24</v>
      </c>
      <c r="C16" s="100"/>
      <c r="D16" s="100"/>
      <c r="E16" s="100"/>
      <c r="F16" s="100"/>
      <c r="G16" s="100"/>
      <c r="H16" s="100"/>
      <c r="I16" s="100"/>
      <c r="J16" s="101"/>
      <c r="K16" s="102" t="s">
        <v>25</v>
      </c>
      <c r="L16" s="100"/>
      <c r="M16" s="100"/>
      <c r="N16" s="100"/>
      <c r="O16" s="100"/>
      <c r="P16" s="100"/>
      <c r="Q16" s="100"/>
      <c r="R16" s="100"/>
      <c r="S16" s="101"/>
    </row>
    <row r="17" spans="2:19">
      <c r="B17" s="97"/>
      <c r="C17" s="100" t="s">
        <v>2</v>
      </c>
      <c r="D17" s="100"/>
      <c r="E17" s="100"/>
      <c r="F17" s="100"/>
      <c r="G17" s="100"/>
      <c r="H17" s="100"/>
      <c r="I17" s="103" t="s">
        <v>10</v>
      </c>
      <c r="J17" s="101" t="s">
        <v>11</v>
      </c>
      <c r="K17" s="97"/>
      <c r="L17" s="97" t="s">
        <v>2</v>
      </c>
      <c r="M17" s="97"/>
      <c r="N17" s="97"/>
      <c r="O17" s="97"/>
      <c r="P17" s="7"/>
      <c r="Q17" s="8"/>
      <c r="R17" s="99"/>
      <c r="S17" s="98"/>
    </row>
    <row r="18" spans="2:19">
      <c r="B18" s="97" t="s">
        <v>3</v>
      </c>
      <c r="C18" s="12" t="s">
        <v>4</v>
      </c>
      <c r="D18" s="97" t="s">
        <v>5</v>
      </c>
      <c r="E18" s="97" t="s">
        <v>6</v>
      </c>
      <c r="F18" s="97" t="s">
        <v>7</v>
      </c>
      <c r="G18" s="99" t="s">
        <v>8</v>
      </c>
      <c r="H18" s="7" t="s">
        <v>9</v>
      </c>
      <c r="I18" s="103"/>
      <c r="J18" s="101"/>
      <c r="K18" s="97" t="s">
        <v>3</v>
      </c>
      <c r="L18" s="97" t="s">
        <v>4</v>
      </c>
      <c r="M18" s="97" t="s">
        <v>5</v>
      </c>
      <c r="N18" s="97" t="s">
        <v>6</v>
      </c>
      <c r="O18" s="97" t="s">
        <v>7</v>
      </c>
      <c r="P18" s="99" t="s">
        <v>8</v>
      </c>
      <c r="Q18" s="8" t="s">
        <v>9</v>
      </c>
      <c r="R18" s="99" t="s">
        <v>10</v>
      </c>
      <c r="S18" s="98" t="s">
        <v>11</v>
      </c>
    </row>
    <row r="19" spans="2:19">
      <c r="B19" s="100" t="s">
        <v>26</v>
      </c>
      <c r="C19" s="12" t="s">
        <v>27</v>
      </c>
      <c r="D19" s="97">
        <v>1</v>
      </c>
      <c r="E19" s="97" t="s">
        <v>19</v>
      </c>
      <c r="F19" s="97" t="s">
        <v>28</v>
      </c>
      <c r="G19" s="99" t="s">
        <v>29</v>
      </c>
      <c r="H19" s="8">
        <v>8</v>
      </c>
      <c r="I19" s="7">
        <v>299</v>
      </c>
      <c r="J19" s="7">
        <f>I19*D19</f>
        <v>299</v>
      </c>
      <c r="K19" s="97" t="s">
        <v>30</v>
      </c>
      <c r="L19" s="97" t="s">
        <v>31</v>
      </c>
      <c r="M19" s="97">
        <v>4</v>
      </c>
      <c r="N19" s="97" t="s">
        <v>32</v>
      </c>
      <c r="O19" s="97" t="s">
        <v>33</v>
      </c>
      <c r="P19" s="10" t="s">
        <v>34</v>
      </c>
      <c r="Q19" s="8">
        <v>8</v>
      </c>
      <c r="R19" s="99">
        <v>126</v>
      </c>
      <c r="S19" s="7">
        <f>R19*M19</f>
        <v>504</v>
      </c>
    </row>
    <row r="20" spans="2:19">
      <c r="B20" s="100"/>
      <c r="C20"/>
      <c r="D20" s="97"/>
      <c r="E20" s="97"/>
      <c r="F20" s="97"/>
      <c r="G20" s="99"/>
      <c r="H20" s="97"/>
      <c r="I20" s="99"/>
      <c r="J20" s="9">
        <f>I20*D20</f>
        <v>0</v>
      </c>
      <c r="K20" s="97"/>
      <c r="L20" s="97"/>
      <c r="M20" s="97"/>
      <c r="N20" s="97"/>
      <c r="O20" s="97"/>
      <c r="P20" s="7"/>
      <c r="Q20" s="8"/>
      <c r="R20" s="99"/>
      <c r="S20" s="9"/>
    </row>
    <row r="21" spans="2:19">
      <c r="B21" s="97" t="s">
        <v>35</v>
      </c>
      <c r="C21" s="12"/>
      <c r="D21" s="97"/>
      <c r="E21" s="97"/>
      <c r="F21" s="97"/>
      <c r="G21" s="99"/>
      <c r="H21" s="97"/>
      <c r="I21" s="97"/>
      <c r="J21" s="97"/>
      <c r="K21" s="97"/>
      <c r="L21" s="97"/>
      <c r="M21" s="97"/>
      <c r="N21" s="7"/>
      <c r="O21" s="7"/>
      <c r="P21" s="7"/>
      <c r="Q21" s="8"/>
      <c r="R21" s="97"/>
      <c r="S21" s="97"/>
    </row>
    <row r="22" spans="2:19">
      <c r="B22" s="97"/>
      <c r="C22" s="12"/>
      <c r="D22" s="97"/>
      <c r="E22" s="97"/>
      <c r="F22" s="97"/>
      <c r="G22" s="99"/>
      <c r="H22" s="97"/>
      <c r="I22" s="97"/>
      <c r="J22" s="97"/>
      <c r="K22" s="97"/>
      <c r="L22" s="97"/>
      <c r="M22" s="97"/>
      <c r="N22" s="7"/>
      <c r="O22" s="7"/>
      <c r="P22" s="7"/>
      <c r="Q22" s="97"/>
      <c r="R22" s="97"/>
      <c r="S22" s="97"/>
    </row>
    <row r="23" spans="2:19">
      <c r="B23" s="97"/>
      <c r="C23" s="12"/>
      <c r="D23" s="97"/>
      <c r="E23" s="97"/>
      <c r="F23" s="97"/>
      <c r="G23" s="99"/>
      <c r="H23" s="97"/>
      <c r="I23" s="97"/>
      <c r="J23" s="97"/>
      <c r="K23" s="97"/>
      <c r="L23" s="97"/>
      <c r="M23" s="97"/>
      <c r="N23" s="7"/>
      <c r="O23" s="7"/>
      <c r="P23" s="7"/>
      <c r="Q23" s="97"/>
      <c r="R23" s="97"/>
      <c r="S23" s="97"/>
    </row>
    <row r="24" spans="2:19">
      <c r="B24" s="97"/>
      <c r="C24" s="12"/>
      <c r="D24" s="97"/>
      <c r="E24" s="97"/>
      <c r="F24" s="97"/>
      <c r="G24" s="99"/>
      <c r="H24" s="97"/>
      <c r="I24" s="97"/>
      <c r="J24" s="97"/>
      <c r="K24" s="97"/>
      <c r="L24" s="97"/>
      <c r="M24" s="97"/>
      <c r="N24" s="7"/>
      <c r="O24" s="7"/>
      <c r="P24" s="7"/>
      <c r="Q24" s="97"/>
      <c r="R24" s="97"/>
      <c r="S24" s="97"/>
    </row>
    <row r="25" spans="2:19">
      <c r="B25" s="97"/>
      <c r="C25" s="12"/>
      <c r="D25" s="97"/>
      <c r="E25" s="97"/>
      <c r="F25" s="97"/>
      <c r="G25" s="99"/>
      <c r="H25" s="97"/>
      <c r="I25" s="97"/>
      <c r="J25" s="97"/>
      <c r="K25" s="97"/>
      <c r="L25" s="97"/>
      <c r="M25" s="97"/>
      <c r="N25" s="7"/>
      <c r="O25" s="7"/>
      <c r="P25" s="7"/>
      <c r="Q25" s="97"/>
      <c r="R25" s="97"/>
      <c r="S25" s="97"/>
    </row>
    <row r="26" spans="2:19">
      <c r="B26" s="97"/>
      <c r="C26" s="12"/>
      <c r="D26" s="97"/>
      <c r="E26" s="97"/>
      <c r="F26" s="97"/>
      <c r="G26" s="99"/>
      <c r="H26" s="97"/>
      <c r="I26" s="97"/>
      <c r="J26" s="97"/>
      <c r="K26" s="97"/>
      <c r="L26" s="97"/>
      <c r="M26" s="97"/>
      <c r="N26" s="7"/>
      <c r="O26" s="7"/>
      <c r="P26" s="7"/>
      <c r="Q26" s="97"/>
      <c r="R26" s="97"/>
      <c r="S26" s="97"/>
    </row>
    <row r="27" spans="2:19">
      <c r="B27" s="97"/>
      <c r="C27" s="12"/>
      <c r="D27" s="97"/>
      <c r="E27" s="97"/>
      <c r="F27" s="97"/>
      <c r="G27" s="99"/>
      <c r="H27" s="97"/>
      <c r="I27" s="97"/>
      <c r="J27" s="97"/>
      <c r="K27" s="97"/>
      <c r="L27" s="97"/>
      <c r="M27" s="97"/>
      <c r="N27" s="7"/>
      <c r="O27" s="7"/>
      <c r="P27" s="7"/>
      <c r="Q27" s="97"/>
      <c r="R27" s="97"/>
      <c r="S27" s="97"/>
    </row>
    <row r="28" spans="2:19">
      <c r="B28" s="97"/>
      <c r="C28" s="12"/>
      <c r="D28" s="97"/>
      <c r="E28" s="97"/>
      <c r="F28" s="97"/>
      <c r="G28" s="99"/>
      <c r="H28" s="97"/>
      <c r="I28" s="97"/>
      <c r="J28" s="97"/>
      <c r="K28" s="97"/>
      <c r="L28" s="97"/>
      <c r="M28" s="97"/>
      <c r="N28" s="7"/>
      <c r="O28" s="7"/>
      <c r="P28" s="7"/>
      <c r="Q28" s="97"/>
      <c r="R28" s="97"/>
      <c r="S28" s="97"/>
    </row>
    <row r="29" spans="2:19">
      <c r="B29" s="97"/>
      <c r="C29" s="12"/>
      <c r="D29" s="97"/>
      <c r="E29" s="97"/>
      <c r="F29" s="97"/>
      <c r="G29" s="99"/>
      <c r="H29" s="97"/>
      <c r="I29" s="97"/>
      <c r="J29" s="97"/>
      <c r="K29" s="97"/>
      <c r="L29" s="97"/>
      <c r="M29" s="97"/>
      <c r="N29" s="7"/>
      <c r="O29" s="7"/>
      <c r="P29" s="7"/>
      <c r="Q29" s="97"/>
      <c r="R29" s="97"/>
      <c r="S29" s="97"/>
    </row>
    <row r="30" spans="2:19">
      <c r="B30" s="97"/>
      <c r="C30" s="12"/>
      <c r="D30" s="97"/>
      <c r="E30" s="97"/>
      <c r="F30" s="97"/>
      <c r="G30" s="99"/>
      <c r="H30" s="97"/>
      <c r="I30" s="97"/>
      <c r="J30" s="97"/>
      <c r="K30" s="97"/>
      <c r="L30" s="97"/>
      <c r="M30" s="97"/>
      <c r="N30" s="7"/>
      <c r="O30" s="7"/>
      <c r="P30" s="7"/>
      <c r="Q30" s="97"/>
      <c r="R30" s="97"/>
      <c r="S30" s="97"/>
    </row>
    <row r="31" spans="2:19">
      <c r="B31" s="97"/>
      <c r="C31" s="12"/>
      <c r="D31" s="97"/>
      <c r="E31" s="97"/>
      <c r="F31" s="97"/>
      <c r="G31" s="99"/>
      <c r="H31" s="97"/>
      <c r="I31" s="97"/>
      <c r="J31" s="97"/>
      <c r="K31" s="97"/>
      <c r="L31" s="97"/>
      <c r="M31" s="97"/>
      <c r="N31" s="7"/>
      <c r="O31" s="7"/>
      <c r="P31" s="7"/>
      <c r="Q31" s="97"/>
      <c r="R31" s="97"/>
      <c r="S31" s="97"/>
    </row>
    <row r="32" spans="2:19">
      <c r="B32" s="97"/>
      <c r="C32" s="12"/>
      <c r="D32" s="97"/>
      <c r="E32" s="97"/>
      <c r="F32" s="97"/>
      <c r="G32" s="99"/>
      <c r="H32" s="97"/>
      <c r="I32" s="97"/>
      <c r="J32" s="97"/>
      <c r="K32" s="97"/>
      <c r="L32" s="97"/>
      <c r="M32" s="97"/>
      <c r="N32" s="7"/>
      <c r="O32" s="7"/>
      <c r="P32" s="7"/>
      <c r="Q32" s="97"/>
      <c r="R32" s="97"/>
      <c r="S32" s="97"/>
    </row>
    <row r="33" spans="2:19">
      <c r="B33" s="97"/>
      <c r="C33" s="12"/>
      <c r="D33" s="97"/>
      <c r="E33" s="97"/>
      <c r="F33" s="97"/>
      <c r="G33" s="99"/>
      <c r="H33" s="97"/>
      <c r="I33" s="97"/>
      <c r="J33" s="97"/>
      <c r="K33" s="97"/>
      <c r="L33" s="97"/>
      <c r="M33" s="97"/>
      <c r="N33" s="7"/>
      <c r="O33" s="7"/>
      <c r="P33" s="7"/>
      <c r="Q33" s="97"/>
      <c r="R33" s="97"/>
      <c r="S33" s="97"/>
    </row>
    <row r="34" spans="2:19">
      <c r="B34" s="97"/>
      <c r="C34" s="12"/>
      <c r="D34" s="97"/>
      <c r="E34" s="97"/>
      <c r="F34" s="97"/>
      <c r="G34" s="99"/>
      <c r="H34" s="97"/>
      <c r="I34" s="97"/>
      <c r="J34" s="97"/>
      <c r="K34" s="97"/>
      <c r="L34" s="97"/>
      <c r="M34" s="97"/>
      <c r="N34" s="7"/>
      <c r="O34" s="7"/>
      <c r="P34" s="7"/>
      <c r="Q34" s="97"/>
      <c r="R34" s="97"/>
      <c r="S34" s="97"/>
    </row>
    <row r="35" spans="2:19">
      <c r="B35" s="97"/>
      <c r="C35" s="12"/>
      <c r="D35" s="97"/>
      <c r="E35" s="97"/>
      <c r="F35" s="97"/>
      <c r="G35" s="99"/>
      <c r="H35" s="97"/>
      <c r="I35" s="97"/>
      <c r="J35" s="97"/>
      <c r="K35" s="97"/>
      <c r="L35" s="97"/>
      <c r="M35" s="97"/>
      <c r="N35" s="7"/>
      <c r="O35" s="7"/>
      <c r="P35" s="7"/>
      <c r="Q35" s="97"/>
      <c r="R35" s="97"/>
      <c r="S35" s="97"/>
    </row>
    <row r="36" spans="2:19">
      <c r="B36" s="97"/>
      <c r="C36" s="12"/>
      <c r="D36" s="97"/>
      <c r="E36" s="97"/>
      <c r="F36" s="97"/>
      <c r="G36" s="99"/>
      <c r="H36" s="97"/>
      <c r="I36" s="97"/>
      <c r="J36" s="97"/>
      <c r="K36" s="97"/>
      <c r="L36" s="97"/>
      <c r="M36" s="97"/>
      <c r="N36" s="7"/>
      <c r="O36" s="7"/>
      <c r="P36" s="7"/>
      <c r="Q36" s="97"/>
      <c r="R36" s="97"/>
      <c r="S36" s="97"/>
    </row>
    <row r="37" spans="2:19">
      <c r="B37" s="97"/>
      <c r="C37" s="12"/>
      <c r="D37" s="97"/>
      <c r="E37" s="97"/>
      <c r="F37" s="97"/>
      <c r="G37" s="99"/>
      <c r="H37" s="97"/>
      <c r="I37" s="97"/>
      <c r="J37" s="97"/>
      <c r="K37" s="97"/>
      <c r="L37" s="97"/>
      <c r="M37" s="97"/>
      <c r="N37" s="7"/>
      <c r="O37" s="7"/>
      <c r="P37" s="7"/>
      <c r="Q37" s="97"/>
      <c r="R37" s="97"/>
      <c r="S37" s="97"/>
    </row>
  </sheetData>
  <mergeCells count="10">
    <mergeCell ref="B19:B20"/>
    <mergeCell ref="B3:J3"/>
    <mergeCell ref="B6:B7"/>
    <mergeCell ref="K3:S3"/>
    <mergeCell ref="B16:J16"/>
    <mergeCell ref="K16:S16"/>
    <mergeCell ref="C17:H17"/>
    <mergeCell ref="I17:I18"/>
    <mergeCell ref="J17:J18"/>
    <mergeCell ref="C4:H4"/>
  </mergeCells>
  <hyperlinks>
    <hyperlink ref="A6" r:id="rId1" display="https://file.notion.so/f/f/f698a6e4-5e74-4e8d-ba68-845642efd915/941145de-f552-49b6-8e80-93997f142457/VSB218.pdf?table=block&amp;id=68ec74ed-e73c-4eeb-99db-a03130806d04&amp;spaceId=f698a6e4-5e74-4e8d-ba68-845642efd915&amp;expirationTimestamp=1764122400000&amp;signature=zKxO9mnDzF4XXXYTKOGr3LV5ZVn5oSV6EX182-MKQ1w&amp;downloadName=VSB218.pdf" xr:uid="{AD413638-5285-4229-938F-2E453D91A71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0E50-A4CD-4948-9ADF-012FAB8869CB}">
  <dimension ref="A1:F14"/>
  <sheetViews>
    <sheetView workbookViewId="0">
      <selection activeCell="D13" sqref="D13"/>
    </sheetView>
  </sheetViews>
  <sheetFormatPr defaultRowHeight="14.45"/>
  <cols>
    <col min="1" max="1" width="31.5703125" bestFit="1" customWidth="1"/>
    <col min="2" max="2" width="17" customWidth="1"/>
    <col min="3" max="3" width="10.42578125" bestFit="1" customWidth="1"/>
    <col min="4" max="4" width="10.42578125" style="5" bestFit="1" customWidth="1"/>
    <col min="5" max="5" width="11" bestFit="1" customWidth="1"/>
    <col min="6" max="6" width="11" style="5" bestFit="1" customWidth="1"/>
  </cols>
  <sheetData>
    <row r="1" spans="1:6" ht="15" thickBot="1"/>
    <row r="2" spans="1:6">
      <c r="A2" s="66" t="s">
        <v>36</v>
      </c>
      <c r="B2" s="47" t="s">
        <v>37</v>
      </c>
      <c r="C2" s="94" t="s">
        <v>38</v>
      </c>
      <c r="D2" s="47" t="s">
        <v>39</v>
      </c>
      <c r="E2" s="89" t="s">
        <v>11</v>
      </c>
      <c r="F2"/>
    </row>
    <row r="3" spans="1:6">
      <c r="A3" s="51" t="s">
        <v>40</v>
      </c>
      <c r="B3" s="24" t="s">
        <v>41</v>
      </c>
      <c r="C3" s="42">
        <v>458</v>
      </c>
      <c r="D3" s="24">
        <v>2</v>
      </c>
      <c r="E3" s="90">
        <f>D3*C3</f>
        <v>916</v>
      </c>
      <c r="F3"/>
    </row>
    <row r="4" spans="1:6">
      <c r="A4" s="51"/>
      <c r="B4" s="78"/>
      <c r="C4" s="88"/>
      <c r="D4" s="75"/>
      <c r="E4" s="91"/>
      <c r="F4"/>
    </row>
    <row r="5" spans="1:6">
      <c r="A5" s="49" t="s">
        <v>42</v>
      </c>
      <c r="B5" s="79"/>
      <c r="C5" s="76"/>
      <c r="D5" s="34"/>
      <c r="E5" s="92"/>
      <c r="F5"/>
    </row>
    <row r="6" spans="1:6">
      <c r="A6" s="51" t="s">
        <v>43</v>
      </c>
      <c r="B6" s="27"/>
      <c r="C6" s="95">
        <v>300</v>
      </c>
      <c r="D6" s="24">
        <v>1</v>
      </c>
      <c r="E6" s="90">
        <f>D6*C6</f>
        <v>300</v>
      </c>
      <c r="F6"/>
    </row>
    <row r="7" spans="1:6">
      <c r="A7" s="51" t="s">
        <v>44</v>
      </c>
      <c r="B7" s="78" t="s">
        <v>45</v>
      </c>
      <c r="C7" s="88">
        <v>130</v>
      </c>
      <c r="D7" s="75"/>
      <c r="E7" s="91">
        <v>130</v>
      </c>
      <c r="F7"/>
    </row>
    <row r="8" spans="1:6" ht="15">
      <c r="A8" s="49" t="s">
        <v>46</v>
      </c>
      <c r="B8" s="79"/>
      <c r="C8" s="76"/>
      <c r="D8" s="34"/>
      <c r="E8" s="92"/>
      <c r="F8"/>
    </row>
    <row r="9" spans="1:6" ht="15">
      <c r="A9" t="s">
        <v>47</v>
      </c>
      <c r="B9" t="s">
        <v>48</v>
      </c>
      <c r="C9" s="95">
        <v>60</v>
      </c>
      <c r="D9" s="24">
        <v>1</v>
      </c>
      <c r="E9" s="92">
        <v>60</v>
      </c>
      <c r="F9"/>
    </row>
    <row r="10" spans="1:6" ht="15">
      <c r="A10" s="67" t="s">
        <v>49</v>
      </c>
      <c r="B10" s="68"/>
      <c r="C10" s="96">
        <v>150</v>
      </c>
      <c r="D10" s="68">
        <v>1</v>
      </c>
      <c r="E10" s="93">
        <f>D10*C10</f>
        <v>150</v>
      </c>
    </row>
    <row r="11" spans="1:6" ht="15">
      <c r="D11" s="69" t="s">
        <v>50</v>
      </c>
      <c r="E11" s="43">
        <f>SUM(E3:E10)</f>
        <v>1556</v>
      </c>
    </row>
    <row r="12" spans="1:6" ht="15"/>
    <row r="13" spans="1:6" ht="15"/>
    <row r="14" spans="1:6" ht="15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DF6B-977C-4961-A94A-43A55123CE01}">
  <dimension ref="B1:C10"/>
  <sheetViews>
    <sheetView workbookViewId="0">
      <selection activeCell="E6" sqref="E6"/>
    </sheetView>
  </sheetViews>
  <sheetFormatPr defaultRowHeight="14.45"/>
  <cols>
    <col min="2" max="2" width="11.5703125" bestFit="1" customWidth="1"/>
    <col min="3" max="3" width="11.5703125" style="5" bestFit="1" customWidth="1"/>
  </cols>
  <sheetData>
    <row r="1" spans="2:3" ht="15" thickBot="1"/>
    <row r="2" spans="2:3" ht="15" thickBot="1">
      <c r="B2" s="104" t="s">
        <v>51</v>
      </c>
      <c r="C2" s="105"/>
    </row>
    <row r="3" spans="2:3">
      <c r="B3" s="20" t="s">
        <v>52</v>
      </c>
      <c r="C3" s="18">
        <v>1000</v>
      </c>
    </row>
    <row r="4" spans="2:3">
      <c r="B4" s="21" t="s">
        <v>4</v>
      </c>
      <c r="C4" s="19">
        <f>Takesound!H15</f>
        <v>2151.5</v>
      </c>
    </row>
    <row r="5" spans="2:3" ht="15">
      <c r="B5" s="21" t="s">
        <v>53</v>
      </c>
      <c r="C5" s="19">
        <f>Amplificação!E11</f>
        <v>1556</v>
      </c>
    </row>
    <row r="6" spans="2:3" ht="15">
      <c r="B6" s="21" t="s">
        <v>54</v>
      </c>
      <c r="C6" s="22">
        <f>ferramenta!B9</f>
        <v>278.59999999999997</v>
      </c>
    </row>
    <row r="7" spans="2:3" ht="15">
      <c r="B7" s="21"/>
      <c r="C7" s="22"/>
    </row>
    <row r="8" spans="2:3" ht="15">
      <c r="B8" s="23" t="s">
        <v>55</v>
      </c>
      <c r="C8" s="22"/>
    </row>
    <row r="9" spans="2:3" ht="15">
      <c r="B9" s="17" t="s">
        <v>50</v>
      </c>
      <c r="C9" s="16">
        <f>SUM(C3:C8)</f>
        <v>4986.1000000000004</v>
      </c>
    </row>
    <row r="10" spans="2:3" ht="15"/>
  </sheetData>
  <mergeCells count="1"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3C7D-0A93-4AF5-836E-E7AE8A7C6447}">
  <dimension ref="A1:L15"/>
  <sheetViews>
    <sheetView workbookViewId="0">
      <selection activeCell="D19" sqref="D19"/>
    </sheetView>
  </sheetViews>
  <sheetFormatPr defaultRowHeight="14.45"/>
  <cols>
    <col min="1" max="1" width="35.7109375" bestFit="1" customWidth="1"/>
    <col min="5" max="5" width="9.28515625" bestFit="1" customWidth="1"/>
    <col min="6" max="6" width="10.5703125" bestFit="1" customWidth="1"/>
    <col min="7" max="7" width="17.5703125" bestFit="1" customWidth="1"/>
    <col min="8" max="8" width="14.42578125" bestFit="1" customWidth="1"/>
  </cols>
  <sheetData>
    <row r="1" spans="1:12">
      <c r="A1" s="45"/>
      <c r="B1" s="46" t="s">
        <v>56</v>
      </c>
      <c r="C1" s="47" t="s">
        <v>57</v>
      </c>
      <c r="D1" s="46" t="s">
        <v>58</v>
      </c>
      <c r="E1" s="47" t="s">
        <v>10</v>
      </c>
      <c r="F1" s="46" t="s">
        <v>11</v>
      </c>
      <c r="G1" s="47" t="s">
        <v>59</v>
      </c>
      <c r="H1" s="48" t="s">
        <v>60</v>
      </c>
    </row>
    <row r="2" spans="1:12">
      <c r="A2" s="49" t="s">
        <v>0</v>
      </c>
      <c r="B2" s="70"/>
      <c r="C2" s="29"/>
      <c r="D2" s="71"/>
      <c r="E2" s="29"/>
      <c r="F2" s="71"/>
      <c r="G2" s="31"/>
      <c r="H2" s="50"/>
    </row>
    <row r="3" spans="1:12">
      <c r="A3" s="51" t="s">
        <v>61</v>
      </c>
      <c r="B3" s="37">
        <v>2</v>
      </c>
      <c r="C3" s="25">
        <v>2</v>
      </c>
      <c r="D3" s="38">
        <f>B3*C3</f>
        <v>4</v>
      </c>
      <c r="E3" s="26">
        <v>420</v>
      </c>
      <c r="F3" s="42">
        <f>E3*D3</f>
        <v>1680</v>
      </c>
      <c r="G3" s="24">
        <v>0.35</v>
      </c>
      <c r="H3" s="52">
        <f>F3-F3*G3</f>
        <v>1092</v>
      </c>
    </row>
    <row r="4" spans="1:12">
      <c r="A4" s="72"/>
      <c r="B4" s="73"/>
      <c r="C4" s="75"/>
      <c r="D4" s="73"/>
      <c r="E4" s="75"/>
      <c r="F4" s="73"/>
      <c r="G4" s="75"/>
      <c r="H4" s="54"/>
    </row>
    <row r="5" spans="1:12">
      <c r="A5" s="49" t="s">
        <v>1</v>
      </c>
      <c r="B5" s="74"/>
      <c r="C5" s="30"/>
      <c r="D5" s="41"/>
      <c r="E5" s="33"/>
      <c r="F5" s="76"/>
      <c r="G5" s="34"/>
      <c r="H5" s="77"/>
    </row>
    <row r="6" spans="1:12">
      <c r="A6" s="51" t="s">
        <v>62</v>
      </c>
      <c r="B6" s="38">
        <v>1</v>
      </c>
      <c r="C6" s="25">
        <v>2</v>
      </c>
      <c r="D6" s="38">
        <f>B6*C6</f>
        <v>2</v>
      </c>
      <c r="E6" s="26">
        <v>290</v>
      </c>
      <c r="F6" s="42">
        <f>E6*D6</f>
        <v>580</v>
      </c>
      <c r="G6" s="24">
        <v>0.35</v>
      </c>
      <c r="H6" s="52">
        <f>F6-F6*G6</f>
        <v>377</v>
      </c>
    </row>
    <row r="7" spans="1:12">
      <c r="A7" s="72"/>
      <c r="B7" s="83"/>
      <c r="C7" s="84"/>
      <c r="D7" s="83"/>
      <c r="E7" s="82"/>
      <c r="F7" s="88"/>
      <c r="G7" s="75"/>
      <c r="H7" s="54"/>
    </row>
    <row r="8" spans="1:12">
      <c r="A8" s="49" t="s">
        <v>63</v>
      </c>
      <c r="B8" s="74"/>
      <c r="C8" s="30"/>
      <c r="D8" s="41"/>
      <c r="E8" s="33"/>
      <c r="F8" s="76"/>
      <c r="G8" s="34"/>
      <c r="H8" s="77"/>
    </row>
    <row r="9" spans="1:12">
      <c r="A9" s="51" t="s">
        <v>27</v>
      </c>
      <c r="B9" s="38">
        <v>1</v>
      </c>
      <c r="C9" s="25">
        <v>2</v>
      </c>
      <c r="D9" s="38">
        <f>B9*C9</f>
        <v>2</v>
      </c>
      <c r="E9" s="35">
        <f>Drivers!$R$6</f>
        <v>299</v>
      </c>
      <c r="F9" s="42">
        <f>E9*D9</f>
        <v>598</v>
      </c>
      <c r="G9" s="24">
        <v>0.35</v>
      </c>
      <c r="H9" s="53">
        <f>F9-F9*G9</f>
        <v>388.70000000000005</v>
      </c>
    </row>
    <row r="10" spans="1:12">
      <c r="A10" s="85"/>
      <c r="B10" s="83"/>
      <c r="C10" s="84"/>
      <c r="D10" s="83"/>
      <c r="E10" s="82"/>
      <c r="F10" s="80"/>
      <c r="G10" s="78"/>
      <c r="H10" s="54"/>
    </row>
    <row r="11" spans="1:12">
      <c r="A11" s="86" t="s">
        <v>64</v>
      </c>
      <c r="B11" s="39">
        <v>1</v>
      </c>
      <c r="C11" s="1">
        <v>2</v>
      </c>
      <c r="D11" s="39">
        <v>2</v>
      </c>
      <c r="E11" s="28"/>
      <c r="F11" s="81"/>
      <c r="G11" s="36"/>
      <c r="H11" s="55"/>
      <c r="L11" s="32"/>
    </row>
    <row r="12" spans="1:12">
      <c r="A12" s="87"/>
      <c r="B12" s="41"/>
      <c r="C12" s="30"/>
      <c r="D12" s="41"/>
      <c r="E12" s="33"/>
      <c r="F12" s="81"/>
      <c r="G12" s="79"/>
      <c r="H12" s="55"/>
    </row>
    <row r="13" spans="1:12">
      <c r="A13" s="56" t="s">
        <v>25</v>
      </c>
      <c r="B13" s="38"/>
      <c r="C13" s="25"/>
      <c r="D13" s="40"/>
      <c r="E13" s="35"/>
      <c r="F13" s="42"/>
      <c r="G13" s="24"/>
      <c r="H13" s="57"/>
    </row>
    <row r="14" spans="1:12" ht="31.9" customHeight="1" thickBot="1">
      <c r="A14" s="58" t="s">
        <v>65</v>
      </c>
      <c r="B14" s="59">
        <v>4</v>
      </c>
      <c r="C14" s="60">
        <v>1</v>
      </c>
      <c r="D14" s="61">
        <f>B14*C14</f>
        <v>4</v>
      </c>
      <c r="E14" s="62">
        <v>113</v>
      </c>
      <c r="F14" s="63">
        <f>E14*D14</f>
        <v>452</v>
      </c>
      <c r="G14" s="64">
        <v>0.35</v>
      </c>
      <c r="H14" s="65">
        <f>F14-F14*G14</f>
        <v>293.8</v>
      </c>
    </row>
    <row r="15" spans="1:12" ht="15" thickBot="1">
      <c r="E15" s="5"/>
      <c r="F15" s="106" t="s">
        <v>66</v>
      </c>
      <c r="G15" s="107"/>
      <c r="H15" s="44">
        <f>SUM(H2:H14)</f>
        <v>2151.5</v>
      </c>
    </row>
  </sheetData>
  <mergeCells count="1">
    <mergeCell ref="F15:G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9EBB-2DCC-4FD6-8608-61DB5FA28BAF}">
  <dimension ref="A1:S22"/>
  <sheetViews>
    <sheetView zoomScale="70" zoomScaleNormal="70" workbookViewId="0">
      <selection activeCell="E17" sqref="E17"/>
    </sheetView>
  </sheetViews>
  <sheetFormatPr defaultRowHeight="14.45"/>
  <cols>
    <col min="1" max="1" width="15.5703125" bestFit="1" customWidth="1"/>
    <col min="2" max="2" width="24.140625" bestFit="1" customWidth="1"/>
    <col min="3" max="3" width="16.85546875" bestFit="1" customWidth="1"/>
    <col min="4" max="4" width="8.85546875" customWidth="1"/>
    <col min="5" max="5" width="11.28515625" bestFit="1" customWidth="1"/>
    <col min="7" max="7" width="16.140625" bestFit="1" customWidth="1"/>
    <col min="8" max="8" width="9.85546875" bestFit="1" customWidth="1"/>
    <col min="9" max="9" width="11.28515625" bestFit="1" customWidth="1"/>
    <col min="10" max="10" width="17.7109375" bestFit="1" customWidth="1"/>
    <col min="11" max="11" width="16.28515625" style="1" bestFit="1" customWidth="1"/>
    <col min="12" max="12" width="16.85546875" bestFit="1" customWidth="1"/>
    <col min="13" max="13" width="17.140625" bestFit="1" customWidth="1"/>
    <col min="14" max="14" width="11.28515625" bestFit="1" customWidth="1"/>
    <col min="15" max="15" width="15.140625" style="2" bestFit="1" customWidth="1"/>
    <col min="16" max="16" width="16.140625" bestFit="1" customWidth="1"/>
    <col min="17" max="17" width="18.7109375" bestFit="1" customWidth="1"/>
    <col min="18" max="18" width="9" bestFit="1" customWidth="1"/>
    <col min="19" max="19" width="14.42578125" bestFit="1" customWidth="1"/>
  </cols>
  <sheetData>
    <row r="1" spans="1:19">
      <c r="A1" s="100" t="s">
        <v>0</v>
      </c>
      <c r="B1" s="100"/>
      <c r="C1" s="100"/>
      <c r="D1" s="100"/>
      <c r="E1" s="100"/>
      <c r="F1" s="100"/>
      <c r="G1" s="100"/>
      <c r="H1" s="100"/>
      <c r="I1" s="101"/>
      <c r="J1" s="102" t="s">
        <v>1</v>
      </c>
      <c r="K1" s="100"/>
      <c r="L1" s="100"/>
      <c r="M1" s="100"/>
      <c r="N1" s="100"/>
      <c r="O1" s="100"/>
      <c r="P1" s="100"/>
      <c r="Q1" s="100"/>
      <c r="R1" s="100"/>
    </row>
    <row r="2" spans="1:19">
      <c r="A2" s="97"/>
      <c r="B2" s="100" t="s">
        <v>67</v>
      </c>
      <c r="C2" s="100"/>
      <c r="D2" s="100"/>
      <c r="E2" s="100"/>
      <c r="F2" s="100"/>
      <c r="G2" s="100"/>
      <c r="H2" s="99"/>
      <c r="I2" s="98"/>
      <c r="J2" s="97"/>
      <c r="K2" s="97"/>
      <c r="L2" s="97"/>
      <c r="M2" s="97"/>
      <c r="N2" s="97"/>
      <c r="O2" s="97"/>
      <c r="P2" s="97"/>
      <c r="Q2" s="97"/>
      <c r="R2" s="97"/>
    </row>
    <row r="3" spans="1:19">
      <c r="A3" s="97" t="s">
        <v>68</v>
      </c>
      <c r="B3" s="97" t="s">
        <v>69</v>
      </c>
      <c r="C3" s="97" t="s">
        <v>70</v>
      </c>
      <c r="D3" s="97"/>
      <c r="E3" s="97" t="s">
        <v>71</v>
      </c>
      <c r="F3" s="97" t="s">
        <v>72</v>
      </c>
      <c r="G3" s="7" t="s">
        <v>73</v>
      </c>
      <c r="H3" s="99" t="s">
        <v>10</v>
      </c>
      <c r="I3" s="98" t="s">
        <v>11</v>
      </c>
      <c r="J3" s="97" t="s">
        <v>3</v>
      </c>
      <c r="K3" s="97" t="s">
        <v>68</v>
      </c>
      <c r="L3" s="97" t="s">
        <v>69</v>
      </c>
      <c r="M3" s="97" t="s">
        <v>74</v>
      </c>
      <c r="N3" s="97"/>
      <c r="O3" s="97" t="s">
        <v>71</v>
      </c>
      <c r="P3" s="97" t="s">
        <v>72</v>
      </c>
      <c r="Q3" s="7" t="s">
        <v>73</v>
      </c>
      <c r="R3" s="98" t="s">
        <v>11</v>
      </c>
    </row>
    <row r="4" spans="1:19">
      <c r="A4" s="13" t="s">
        <v>75</v>
      </c>
      <c r="B4" s="12" t="s">
        <v>76</v>
      </c>
      <c r="C4" s="97">
        <v>115</v>
      </c>
      <c r="D4" s="97" t="s">
        <v>77</v>
      </c>
      <c r="E4" s="97">
        <v>90</v>
      </c>
      <c r="F4" s="97">
        <v>2</v>
      </c>
      <c r="G4" s="97">
        <v>18</v>
      </c>
      <c r="H4" s="99"/>
      <c r="I4" s="9"/>
      <c r="J4" s="97"/>
      <c r="K4" s="97" t="s">
        <v>78</v>
      </c>
      <c r="L4" s="97"/>
      <c r="M4" s="97">
        <v>458</v>
      </c>
      <c r="N4" s="97" t="s">
        <v>77</v>
      </c>
      <c r="O4" s="97">
        <v>430</v>
      </c>
      <c r="P4" s="10">
        <v>2</v>
      </c>
      <c r="Q4" s="8">
        <v>15</v>
      </c>
      <c r="R4" s="7">
        <f>Q4*L4</f>
        <v>0</v>
      </c>
    </row>
    <row r="5" spans="1:19">
      <c r="A5" s="13" t="s">
        <v>79</v>
      </c>
      <c r="B5" s="12" t="s">
        <v>76</v>
      </c>
      <c r="C5" s="97">
        <v>115</v>
      </c>
      <c r="D5" s="97" t="s">
        <v>77</v>
      </c>
      <c r="E5" s="97">
        <v>65</v>
      </c>
      <c r="F5" s="97">
        <v>1</v>
      </c>
      <c r="G5" s="97">
        <v>18</v>
      </c>
      <c r="H5" s="99"/>
      <c r="I5" s="9"/>
      <c r="J5" s="97"/>
      <c r="K5" s="1" t="s">
        <v>75</v>
      </c>
      <c r="L5" s="97"/>
      <c r="M5" s="97">
        <v>458</v>
      </c>
      <c r="N5" s="97" t="s">
        <v>77</v>
      </c>
      <c r="O5" s="97">
        <v>304</v>
      </c>
      <c r="P5" s="8">
        <v>2</v>
      </c>
      <c r="Q5" s="8">
        <v>15</v>
      </c>
      <c r="R5" s="7"/>
    </row>
    <row r="6" spans="1:19">
      <c r="A6" s="97" t="s">
        <v>78</v>
      </c>
      <c r="B6" s="12" t="s">
        <v>76</v>
      </c>
      <c r="C6" s="97">
        <v>90</v>
      </c>
      <c r="D6" s="97" t="s">
        <v>77</v>
      </c>
      <c r="E6" s="97">
        <v>55</v>
      </c>
      <c r="F6" s="97">
        <v>2</v>
      </c>
      <c r="G6" s="97">
        <v>18</v>
      </c>
      <c r="H6" s="99"/>
      <c r="I6" s="98"/>
      <c r="J6" s="97"/>
      <c r="K6" s="1" t="s">
        <v>80</v>
      </c>
      <c r="M6" s="97">
        <v>335</v>
      </c>
      <c r="N6" s="97" t="s">
        <v>77</v>
      </c>
      <c r="O6" s="97">
        <v>304</v>
      </c>
      <c r="P6" s="97">
        <v>2</v>
      </c>
      <c r="Q6" s="8">
        <v>15</v>
      </c>
      <c r="R6" s="7"/>
    </row>
    <row r="7" spans="1:19">
      <c r="A7" s="97" t="s">
        <v>81</v>
      </c>
      <c r="B7" s="12"/>
      <c r="C7" s="97">
        <v>65</v>
      </c>
      <c r="D7" s="97" t="s">
        <v>77</v>
      </c>
      <c r="E7" s="97">
        <v>29</v>
      </c>
      <c r="F7" s="97">
        <v>2</v>
      </c>
      <c r="G7" s="97">
        <v>18</v>
      </c>
      <c r="H7" s="99"/>
      <c r="I7" s="98"/>
      <c r="J7" s="97"/>
      <c r="K7" s="97" t="s">
        <v>82</v>
      </c>
      <c r="M7" s="97">
        <v>400</v>
      </c>
      <c r="N7" s="97" t="s">
        <v>77</v>
      </c>
      <c r="O7" s="97">
        <v>304</v>
      </c>
      <c r="P7" s="97">
        <v>3</v>
      </c>
      <c r="Q7" s="8">
        <v>15</v>
      </c>
      <c r="R7" s="7"/>
    </row>
    <row r="8" spans="1:19">
      <c r="A8" s="97" t="s">
        <v>83</v>
      </c>
      <c r="B8" s="12"/>
      <c r="C8" s="97">
        <v>73</v>
      </c>
      <c r="D8" s="97" t="s">
        <v>77</v>
      </c>
      <c r="E8" s="97">
        <v>65</v>
      </c>
      <c r="F8" s="97">
        <v>2</v>
      </c>
      <c r="G8" s="97">
        <v>18</v>
      </c>
      <c r="H8" s="99"/>
      <c r="I8" s="98"/>
      <c r="J8" s="97"/>
      <c r="K8" s="97"/>
      <c r="L8" s="97"/>
      <c r="M8" s="97"/>
      <c r="N8" s="97"/>
      <c r="O8" s="8"/>
      <c r="P8" s="8"/>
      <c r="Q8" s="7"/>
      <c r="R8" s="7"/>
    </row>
    <row r="9" spans="1:19">
      <c r="A9" s="97"/>
      <c r="B9" s="12"/>
      <c r="C9" s="97"/>
      <c r="D9" s="97"/>
      <c r="E9" s="97"/>
      <c r="F9" s="97"/>
      <c r="G9" s="97"/>
      <c r="H9" s="99"/>
      <c r="I9" s="98"/>
      <c r="J9" s="97"/>
      <c r="K9" s="97"/>
      <c r="L9" s="97"/>
      <c r="M9" s="97"/>
      <c r="N9" s="97"/>
      <c r="O9" s="8"/>
      <c r="P9" s="8"/>
      <c r="Q9" s="7"/>
      <c r="R9" s="7"/>
    </row>
    <row r="10" spans="1:19">
      <c r="A10" s="97"/>
      <c r="B10" s="12"/>
      <c r="C10" s="97"/>
      <c r="D10" s="97"/>
      <c r="E10" s="97"/>
      <c r="G10" s="97"/>
      <c r="H10" s="99"/>
      <c r="I10" s="98"/>
      <c r="J10" s="97"/>
      <c r="K10" s="97"/>
      <c r="L10" s="97"/>
      <c r="M10" s="97"/>
      <c r="N10" s="97"/>
      <c r="O10" s="8"/>
      <c r="P10" s="8"/>
      <c r="Q10" s="7"/>
      <c r="R10" s="7"/>
    </row>
    <row r="11" spans="1:19">
      <c r="A11" s="97"/>
      <c r="B11" s="12"/>
      <c r="C11" s="97"/>
      <c r="D11" s="97"/>
      <c r="E11" s="97"/>
      <c r="F11" s="97"/>
      <c r="G11" s="97"/>
      <c r="H11" s="99"/>
      <c r="I11" s="98"/>
      <c r="J11" s="97"/>
      <c r="K11" s="97"/>
      <c r="L11" s="97"/>
      <c r="M11" s="97"/>
      <c r="N11" s="97"/>
      <c r="O11" s="8"/>
      <c r="P11" s="8"/>
      <c r="Q11" s="7"/>
      <c r="R11" s="7"/>
    </row>
    <row r="12" spans="1:19">
      <c r="A12" s="97"/>
      <c r="B12" s="12"/>
      <c r="C12" s="97"/>
      <c r="D12" s="97"/>
      <c r="E12" s="97"/>
      <c r="F12" s="97"/>
      <c r="G12" s="97"/>
      <c r="H12" s="99"/>
      <c r="I12" s="98"/>
      <c r="J12" s="97"/>
      <c r="K12" s="97"/>
      <c r="L12" s="97"/>
      <c r="M12" s="97"/>
      <c r="N12" s="97"/>
      <c r="O12" s="8"/>
      <c r="P12" s="8"/>
      <c r="Q12" s="7"/>
      <c r="R12" s="7"/>
    </row>
    <row r="13" spans="1:19">
      <c r="A13" s="97"/>
      <c r="B13" s="12"/>
      <c r="C13" s="97"/>
      <c r="D13" s="97"/>
      <c r="E13" s="97"/>
      <c r="F13" s="97"/>
      <c r="G13" s="97"/>
      <c r="H13" s="99"/>
      <c r="I13" s="98"/>
      <c r="J13" s="97"/>
      <c r="K13" s="97"/>
      <c r="L13" s="97"/>
      <c r="M13" s="97"/>
      <c r="N13" s="97"/>
      <c r="O13" s="8"/>
      <c r="P13" s="8"/>
      <c r="Q13" s="7"/>
      <c r="R13" s="7"/>
    </row>
    <row r="14" spans="1:19">
      <c r="A14" s="100" t="s">
        <v>24</v>
      </c>
      <c r="B14" s="100"/>
      <c r="C14" s="100"/>
      <c r="D14" s="100"/>
      <c r="E14" s="100"/>
      <c r="F14" s="100"/>
      <c r="G14" s="100"/>
      <c r="H14" s="100"/>
      <c r="I14" s="101"/>
      <c r="J14" s="102" t="s">
        <v>25</v>
      </c>
      <c r="K14" s="100"/>
      <c r="L14" s="100"/>
      <c r="M14" s="100"/>
      <c r="N14" s="100"/>
      <c r="O14" s="100"/>
      <c r="P14" s="100"/>
      <c r="Q14" s="100"/>
      <c r="R14" s="101"/>
    </row>
    <row r="15" spans="1:19">
      <c r="A15" s="97"/>
      <c r="B15" s="100" t="s">
        <v>2</v>
      </c>
      <c r="C15" s="100"/>
      <c r="D15" s="100"/>
      <c r="E15" s="100"/>
      <c r="F15" s="100"/>
      <c r="G15" s="100"/>
      <c r="H15" s="14"/>
      <c r="I15" s="15" t="s">
        <v>11</v>
      </c>
      <c r="J15" s="97"/>
      <c r="L15" s="97" t="s">
        <v>2</v>
      </c>
      <c r="M15" s="97"/>
      <c r="N15" s="97"/>
      <c r="O15" s="97"/>
      <c r="P15" s="8"/>
      <c r="Q15" s="8"/>
      <c r="R15" s="99"/>
      <c r="S15" s="98"/>
    </row>
    <row r="16" spans="1:19">
      <c r="A16" s="97" t="s">
        <v>3</v>
      </c>
      <c r="B16" s="97" t="s">
        <v>69</v>
      </c>
      <c r="C16" s="97" t="s">
        <v>70</v>
      </c>
      <c r="D16" s="97"/>
      <c r="E16" s="97" t="s">
        <v>71</v>
      </c>
      <c r="F16" s="97" t="s">
        <v>72</v>
      </c>
      <c r="G16" s="7" t="s">
        <v>73</v>
      </c>
      <c r="H16" s="99" t="s">
        <v>10</v>
      </c>
      <c r="I16" s="15"/>
      <c r="J16" s="97" t="s">
        <v>3</v>
      </c>
      <c r="K16" s="97" t="s">
        <v>68</v>
      </c>
      <c r="L16" s="97" t="s">
        <v>69</v>
      </c>
      <c r="M16" s="97" t="s">
        <v>74</v>
      </c>
      <c r="N16" s="97"/>
      <c r="O16" s="97" t="s">
        <v>71</v>
      </c>
      <c r="P16" s="97" t="s">
        <v>72</v>
      </c>
      <c r="Q16" s="7" t="s">
        <v>73</v>
      </c>
      <c r="R16" s="99" t="s">
        <v>10</v>
      </c>
      <c r="S16" s="98" t="s">
        <v>11</v>
      </c>
    </row>
    <row r="17" spans="1:19">
      <c r="A17" s="13" t="s">
        <v>75</v>
      </c>
      <c r="B17" s="12"/>
      <c r="C17" s="97">
        <v>71</v>
      </c>
      <c r="D17" s="97"/>
      <c r="E17" s="97"/>
      <c r="F17" s="97"/>
      <c r="G17" s="8"/>
      <c r="H17" s="7">
        <v>299</v>
      </c>
      <c r="I17" s="7">
        <f>H17*C17</f>
        <v>21229</v>
      </c>
      <c r="J17" s="97" t="s">
        <v>30</v>
      </c>
      <c r="K17" s="97" t="s">
        <v>78</v>
      </c>
      <c r="L17" s="97"/>
      <c r="M17" s="97">
        <v>578</v>
      </c>
      <c r="N17" s="97" t="s">
        <v>77</v>
      </c>
      <c r="O17" s="97">
        <v>300</v>
      </c>
      <c r="P17" s="10">
        <v>2</v>
      </c>
      <c r="Q17" s="8">
        <v>18</v>
      </c>
      <c r="R17" s="99"/>
      <c r="S17" s="7">
        <f>R17*M17</f>
        <v>0</v>
      </c>
    </row>
    <row r="18" spans="1:19">
      <c r="A18" s="13"/>
      <c r="B18" s="12"/>
      <c r="C18" s="97"/>
      <c r="D18" s="97"/>
      <c r="E18" s="97"/>
      <c r="F18" s="97"/>
      <c r="G18" s="97"/>
      <c r="H18" s="99"/>
      <c r="I18" s="9">
        <f>H18*C18</f>
        <v>0</v>
      </c>
      <c r="J18" s="97"/>
      <c r="K18" s="1" t="s">
        <v>75</v>
      </c>
      <c r="L18" s="97"/>
      <c r="M18" s="97">
        <v>253</v>
      </c>
      <c r="N18" s="97" t="s">
        <v>77</v>
      </c>
      <c r="O18" s="97">
        <v>153</v>
      </c>
      <c r="P18" s="8">
        <v>2</v>
      </c>
      <c r="Q18" s="8">
        <v>18</v>
      </c>
      <c r="R18" s="99"/>
      <c r="S18" s="9"/>
    </row>
    <row r="19" spans="1:19">
      <c r="K19" s="1" t="s">
        <v>84</v>
      </c>
      <c r="M19" s="97">
        <v>279</v>
      </c>
      <c r="N19" s="97" t="s">
        <v>77</v>
      </c>
      <c r="O19" s="97">
        <v>153</v>
      </c>
      <c r="P19" s="97">
        <v>2</v>
      </c>
      <c r="Q19" s="8">
        <v>18</v>
      </c>
    </row>
    <row r="20" spans="1:19">
      <c r="K20" s="97" t="s">
        <v>79</v>
      </c>
      <c r="M20" s="97">
        <v>542</v>
      </c>
      <c r="N20" s="97" t="s">
        <v>77</v>
      </c>
      <c r="O20" s="97">
        <v>153</v>
      </c>
      <c r="P20" s="97">
        <v>1</v>
      </c>
      <c r="Q20" s="8">
        <v>18</v>
      </c>
    </row>
    <row r="21" spans="1:19">
      <c r="O21"/>
      <c r="P21" s="97"/>
    </row>
    <row r="22" spans="1:19">
      <c r="K22" s="97"/>
      <c r="O22" s="97"/>
    </row>
  </sheetData>
  <mergeCells count="6">
    <mergeCell ref="J1:R1"/>
    <mergeCell ref="B2:G2"/>
    <mergeCell ref="A14:I14"/>
    <mergeCell ref="J14:R14"/>
    <mergeCell ref="B15:G15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C5A5-659B-49D2-841E-4C315D32495E}">
  <dimension ref="A1:C9"/>
  <sheetViews>
    <sheetView tabSelected="1" workbookViewId="0">
      <selection activeCell="B11" sqref="B11"/>
    </sheetView>
  </sheetViews>
  <sheetFormatPr defaultRowHeight="15"/>
  <cols>
    <col min="1" max="1" width="58.5703125" customWidth="1"/>
    <col min="3" max="3" width="38" customWidth="1"/>
  </cols>
  <sheetData>
    <row r="1" spans="1:3">
      <c r="A1" t="s">
        <v>85</v>
      </c>
      <c r="B1" t="s">
        <v>86</v>
      </c>
      <c r="C1" t="s">
        <v>87</v>
      </c>
    </row>
    <row r="2" spans="1:3">
      <c r="A2" t="s">
        <v>88</v>
      </c>
      <c r="B2">
        <v>161</v>
      </c>
      <c r="C2" s="108" t="s">
        <v>89</v>
      </c>
    </row>
    <row r="3" spans="1:3">
      <c r="A3" t="s">
        <v>90</v>
      </c>
      <c r="B3">
        <v>63.7</v>
      </c>
      <c r="C3" s="108" t="s">
        <v>91</v>
      </c>
    </row>
    <row r="4" spans="1:3">
      <c r="A4" t="s">
        <v>92</v>
      </c>
      <c r="B4">
        <v>53.9</v>
      </c>
      <c r="C4" s="108" t="s">
        <v>93</v>
      </c>
    </row>
    <row r="9" spans="1:3">
      <c r="A9" t="s">
        <v>94</v>
      </c>
      <c r="B9">
        <f>SUM(B2:B4)</f>
        <v>278.59999999999997</v>
      </c>
    </row>
  </sheetData>
  <hyperlinks>
    <hyperlink ref="C2" r:id="rId1" xr:uid="{B0E1EC59-6B15-4D40-81C5-70156986D814}"/>
    <hyperlink ref="C3" r:id="rId2" display="https://www.amazon.es/dp/B00DEXXCXW/ref=asc_df_B00DEXXCXW?mcid=410e258ea2893e02b7b452b2aafcd0c1&amp;language=pt_PT&amp;hvadid=718310952447&amp;hvpos=&amp;hvnetw=g&amp;hvrand=4397846507676033613&amp;hvpone=&amp;hvptwo=&amp;hvqmt=&amp;hvdev=c&amp;hvdvcmdl=&amp;hvlocint=&amp;hvlocphy=9209882&amp;hvtargid=pla-421487703814" xr:uid="{7D2222DA-E39A-419A-A9EE-815658E08FC6}"/>
    <hyperlink ref="C4" r:id="rId3" xr:uid="{BBDBB472-426B-43D1-8C29-63E6CFFCA31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5C78024D20504A80F5B92122CEFCFE" ma:contentTypeVersion="15" ma:contentTypeDescription="Create a new document." ma:contentTypeScope="" ma:versionID="8e147e34019dd0dd8116fc1f9e6651e1">
  <xsd:schema xmlns:xsd="http://www.w3.org/2001/XMLSchema" xmlns:xs="http://www.w3.org/2001/XMLSchema" xmlns:p="http://schemas.microsoft.com/office/2006/metadata/properties" xmlns:ns3="6b7b71a1-ef97-495a-b672-79aaa54dded7" xmlns:ns4="2657d77f-40e5-4809-8e88-129441ca95b3" targetNamespace="http://schemas.microsoft.com/office/2006/metadata/properties" ma:root="true" ma:fieldsID="eaf4482ad977938cd886298796d1bc08" ns3:_="" ns4:_="">
    <xsd:import namespace="6b7b71a1-ef97-495a-b672-79aaa54dded7"/>
    <xsd:import namespace="2657d77f-40e5-4809-8e88-129441ca95b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7b71a1-ef97-495a-b672-79aaa54dde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7d77f-40e5-4809-8e88-129441ca95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7b71a1-ef97-495a-b672-79aaa54dde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773442-DAB0-41FB-AF8B-5B6B3FD4002B}"/>
</file>

<file path=customXml/itemProps2.xml><?xml version="1.0" encoding="utf-8"?>
<ds:datastoreItem xmlns:ds="http://schemas.openxmlformats.org/officeDocument/2006/customXml" ds:itemID="{A26C4AA3-EE43-42EB-AB4A-2FD9AB1B2843}"/>
</file>

<file path=customXml/itemProps3.xml><?xml version="1.0" encoding="utf-8"?>
<ds:datastoreItem xmlns:ds="http://schemas.openxmlformats.org/officeDocument/2006/customXml" ds:itemID="{9AC0A433-6F0B-4232-84BF-6BB6DB4216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Bela Ferreira Gonçalves Capelas</dc:creator>
  <cp:keywords/>
  <dc:description/>
  <cp:lastModifiedBy>Rodrigo Capelas</cp:lastModifiedBy>
  <cp:revision/>
  <dcterms:created xsi:type="dcterms:W3CDTF">2025-10-29T18:05:35Z</dcterms:created>
  <dcterms:modified xsi:type="dcterms:W3CDTF">2026-01-20T17:12:08Z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0x010100CE5C78024D20504A80F5B92122CEFCFE</vt:lpwstr>
  </property>
</Properties>
</file>