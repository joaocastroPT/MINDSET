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<sst xmlns="http://schemas.openxmlformats.org/spreadsheetml/2006/main" count="42" uniqueCount="42">
  <si>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mind7</t>
  </si>
  <si>
    <t xml:space="preserve">soundsystem</t>
  </si>
  <si>
    <t xml:space="preserve">PROPOSTA DE FORNECIMENTO</t>
  </si>
  <si>
    <t xml:space="preserve">PROPOSTA Nº</t>
  </si>
  <si>
    <t xml:space="preserve">4611516</t>
  </si>
  <si>
    <t xml:space="preserve">CLIENTE</t>
  </si>
  <si>
    <t xml:space="preserve">Rui Alves</t>
  </si>
  <si>
    <t xml:space="preserve">DATA</t>
  </si>
  <si>
    <t xml:space="preserve">03/04/2026</t>
  </si>
  <si>
    <t xml:space="preserve">NIF</t>
  </si>
  <si>
    <t xml:space="preserve">VALIDADE</t>
  </si>
  <si>
    <t xml:space="preserve">30 dias</t>
  </si>
  <si>
    <t xml:space="preserve">CONDIÇÕES PAGAMENTO</t>
  </si>
  <si>
    <t xml:space="preserve">Pré-pagamento</t>
  </si>
  <si>
    <t xml:space="preserve">PRAZO ENTREGA</t>
  </si>
  <si>
    <t xml:space="preserve">1 a 2 semanas</t>
  </si>
  <si>
    <t xml:space="preserve">QTD</t>
  </si>
  <si>
    <t xml:space="preserve">DESIGNAÇÃO / DESCRIÇÃO</t>
  </si>
  <si>
    <t xml:space="preserve">PREÇO/UN (€)</t>
  </si>
  <si>
    <t xml:space="preserve">SUB-TOTAL (€)</t>
  </si>
  <si>
    <t xml:space="preserve">TOTAL (€)</t>
  </si>
  <si>
    <t xml:space="preserve">Coluna Audibax Freeport 12" 400W</t>
  </si>
  <si>
    <t xml:space="preserve">Woofer: 12", 2"VC; Tweeter Diafragma de titânio de 1"; Impedância: 8 ohm; Freq. resposta: 58Hz-20kHz</t>
  </si>
  <si>
    <t xml:space="preserve">Coluna Audibax Freeport 15" 600W</t>
  </si>
  <si>
    <t xml:space="preserve">Woofer: 15", 2"VC; Tweeter Diafragma de titânio de 1"; Impedância: 8 ohm; Freq. resposta: 55Hz-20kHz</t>
  </si>
  <si>
    <t xml:space="preserve">Audibax Dayton 300 - Amplificador de Potência</t>
  </si>
  <si>
    <t xml:space="preserve">Amplifier Class AB; Frequência: 20Hz–20kHz; Potência 2×150W RMS a 4 ohms; Máx. 2×350W</t>
  </si>
  <si>
    <t xml:space="preserve">Omnitronic EP-220PR</t>
  </si>
  <si>
    <t xml:space="preserve">Pré-amplificador universal 19" com leitor áudio, Bluetooth e rádio FM</t>
  </si>
  <si>
    <t xml:space="preserve">BSA100 AX Black Low Noise Pro Speaker Cable 100m</t>
  </si>
  <si>
    <t xml:space="preserve">Cabo de coluna profissional 2×1,5mm, 100 metros</t>
  </si>
  <si>
    <t xml:space="preserve">Suporte para Coluna de Parede 35mm</t>
  </si>
  <si>
    <t xml:space="preserve">Material: Metal; Capacidade de carga: 25 Kg; Rotação: 90° a 125°</t>
  </si>
  <si>
    <t xml:space="preserve">Pro Rack 8U Bastidor Rack c/ Rodas</t>
  </si>
  <si>
    <t xml:space="preserve">Régua de Energia para Bastidor c/ Disjuntor</t>
  </si>
  <si>
    <t xml:space="preserve">SUBTOTAL</t>
  </si>
  <si>
    <t xml:space="preserve">IVA (23%)</t>
  </si>
  <si>
    <t xml:space="preserve">TOTAL C/ IVA</t>
  </si>
  <si>
    <t xml:space="preserve">Obs: Instalação a cargo do cliente. Este documento não serve de fatura.</t>
  </si>
  <si>
    <t xml:space="preserve">mind7 soundsystem</t>
  </si>
  <si>
    <t xml:space="preserve">Portugal  |  NIF: ___________</t>
  </si>
  <si>
    <t xml:space="preserve">soundsystem@mind7.pt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</si>
</sst>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&quot; €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E8B800"/>
      <name val="Arial"/>
      <family val="0"/>
      <charset val="1"/>
    </font>
    <font>
      <sz val="14"/>
      <color rgb="FFFFFFFF"/>
      <name val="Arial"/>
      <family val="0"/>
      <charset val="1"/>
    </font>
    <font>
      <b val="true"/>
      <sz val="9"/>
      <color rgb="FFE8B800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11"/>
      <color rgb="FFE8B800"/>
      <name val="Arial"/>
      <family val="0"/>
      <charset val="1"/>
    </font>
    <font>
      <b val="true"/>
      <sz val="13"/>
      <color rgb="FFE8B800"/>
      <name val="Arial"/>
      <family val="0"/>
      <charset val="1"/>
    </font>
    <font>
      <sz val="8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8B800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F5F5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medium">
        <color rgb="FFE8B80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6" min="4" style="0" width="14"/>
    <col collapsed="false" customWidth="true" hidden="false" outlineLevel="0" max="7" min="7" style="0" width="3"/>
  </cols>
  <sheetData>
    <row r="1" customFormat="false" ht="7.5" hidden="false" customHeight="true" outlineLevel="0" collapsed="false"/>
    <row r="2" customFormat="false" ht="54.75" hidden="false" customHeight="true" outlineLevel="0" collapsed="false">
      <c r="A2" s="1"/>
      <c r="B2" s="2" t="s">
        <v>0</v>
      </c>
      <c r="C2" s="3" t="s">
        <v>1</v>
      </c>
      <c r="D2" s="1"/>
      <c r="E2" s="4" t="s">
        <v>2</v>
      </c>
      <c r="F2" s="4"/>
      <c r="G2" s="1"/>
    </row>
    <row r="3" customFormat="false" ht="7.5" hidden="false" customHeight="true" outlineLevel="0" collapsed="false"/>
    <row r="4" customFormat="false" ht="18" hidden="false" customHeight="true" outlineLevel="0" collapsed="false">
      <c r="B4" s="5" t="s">
        <v>3</v>
      </c>
      <c r="C4" s="6" t="s">
        <v>4</v>
      </c>
      <c r="E4" s="7" t="s">
        <v>5</v>
      </c>
      <c r="F4" s="8" t="s">
        <v>6</v>
      </c>
    </row>
    <row r="5" customFormat="false" ht="18" hidden="false" customHeight="true" outlineLevel="0" collapsed="false">
      <c r="B5" s="5" t="s">
        <v>7</v>
      </c>
      <c r="C5" s="6" t="s">
        <v>8</v>
      </c>
      <c r="E5" s="7" t="s">
        <v>9</v>
      </c>
    </row>
    <row r="6" customFormat="false" ht="18" hidden="false" customHeight="true" outlineLevel="0" collapsed="false">
      <c r="B6" s="5" t="s">
        <v>10</v>
      </c>
      <c r="C6" s="6" t="s">
        <v>11</v>
      </c>
      <c r="E6" s="7" t="s">
        <v>12</v>
      </c>
      <c r="F6" s="8" t="s">
        <v>13</v>
      </c>
    </row>
    <row r="7" customFormat="false" ht="18" hidden="false" customHeight="true" outlineLevel="0" collapsed="false">
      <c r="B7" s="5" t="s">
        <v>14</v>
      </c>
      <c r="C7" s="6" t="s">
        <v>15</v>
      </c>
    </row>
    <row r="8" customFormat="false" ht="3.75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7.5" hidden="false" customHeight="true" outlineLevel="0" collapsed="false"/>
    <row r="10" customFormat="false" ht="21.75" hidden="false" customHeight="true" outlineLevel="0" collapsed="false">
      <c r="B10" s="10" t="s">
        <v>16</v>
      </c>
      <c r="C10" s="11" t="s">
        <v>17</v>
      </c>
      <c r="D10" s="12" t="s">
        <v>18</v>
      </c>
      <c r="E10" s="12" t="s">
        <v>19</v>
      </c>
      <c r="F10" s="12" t="s">
        <v>20</v>
      </c>
    </row>
    <row r="11" customFormat="false" ht="18" hidden="false" customHeight="true" outlineLevel="0" collapsed="false">
      <c r="B11" s="13" t="n">
        <v>4</v>
      </c>
      <c r="C11" s="14" t="s">
        <v>21</v>
      </c>
      <c r="D11" s="15" t="n">
        <v>69</v>
      </c>
      <c r="E11" s="16" t="n">
        <f aca="false">B11*D11</f>
        <v>276</v>
      </c>
    </row>
    <row r="12" customFormat="false" ht="13.5" hidden="false" customHeight="true" outlineLevel="0" collapsed="false">
      <c r="B12" s="17"/>
      <c r="C12" s="18" t="s">
        <v>22</v>
      </c>
      <c r="D12" s="17"/>
      <c r="E12" s="17"/>
      <c r="F12" s="17"/>
    </row>
    <row r="13" customFormat="false" ht="6" hidden="false" customHeight="true" outlineLevel="0" collapsed="false">
      <c r="A13" s="17"/>
      <c r="B13" s="17"/>
      <c r="C13" s="17"/>
      <c r="D13" s="17"/>
      <c r="E13" s="17"/>
      <c r="F13" s="17"/>
      <c r="G13" s="17"/>
    </row>
    <row r="14" customFormat="false" ht="18" hidden="false" customHeight="true" outlineLevel="0" collapsed="false">
      <c r="B14" s="19" t="n">
        <v>2</v>
      </c>
      <c r="C14" s="20" t="s">
        <v>23</v>
      </c>
      <c r="D14" s="21" t="n">
        <v>77</v>
      </c>
      <c r="E14" s="22" t="n">
        <f aca="false">B14*D14</f>
        <v>154</v>
      </c>
      <c r="F14" s="23" t="n">
        <f aca="false">E11+E14</f>
        <v>430</v>
      </c>
    </row>
    <row r="15" customFormat="false" ht="13.5" hidden="false" customHeight="true" outlineLevel="0" collapsed="false">
      <c r="B15" s="24"/>
      <c r="C15" s="25" t="s">
        <v>24</v>
      </c>
      <c r="D15" s="24"/>
      <c r="E15" s="24"/>
      <c r="F15" s="24"/>
    </row>
    <row r="16" customFormat="false" ht="6" hidden="false" customHeight="true" outlineLevel="0" collapsed="false">
      <c r="A16" s="24"/>
      <c r="B16" s="24"/>
      <c r="C16" s="24"/>
      <c r="D16" s="24"/>
      <c r="E16" s="24"/>
      <c r="F16" s="24"/>
      <c r="G16" s="24"/>
    </row>
    <row r="17" customFormat="false" ht="18" hidden="false" customHeight="true" outlineLevel="0" collapsed="false">
      <c r="B17" s="13" t="n">
        <v>2</v>
      </c>
      <c r="C17" s="14" t="s">
        <v>25</v>
      </c>
      <c r="D17" s="15" t="n">
        <v>115</v>
      </c>
      <c r="E17" s="16" t="n">
        <f aca="false">B17*D17</f>
        <v>230</v>
      </c>
      <c r="F17" s="26" t="n">
        <f aca="false">E17</f>
        <v>230</v>
      </c>
    </row>
    <row r="18" customFormat="false" ht="13.5" hidden="false" customHeight="true" outlineLevel="0" collapsed="false">
      <c r="B18" s="17"/>
      <c r="C18" s="18" t="s">
        <v>26</v>
      </c>
      <c r="D18" s="17"/>
      <c r="E18" s="17"/>
      <c r="F18" s="17"/>
    </row>
    <row r="19" customFormat="false" ht="6" hidden="false" customHeight="true" outlineLevel="0" collapsed="false">
      <c r="A19" s="17"/>
      <c r="B19" s="17"/>
      <c r="C19" s="17"/>
      <c r="D19" s="17"/>
      <c r="E19" s="17"/>
      <c r="F19" s="17"/>
      <c r="G19" s="17"/>
    </row>
    <row r="20" customFormat="false" ht="18" hidden="false" customHeight="true" outlineLevel="0" collapsed="false">
      <c r="B20" s="19" t="n">
        <v>1</v>
      </c>
      <c r="C20" s="20" t="s">
        <v>27</v>
      </c>
      <c r="D20" s="21" t="n">
        <v>115</v>
      </c>
      <c r="E20" s="22" t="n">
        <f aca="false">B20*D20</f>
        <v>115</v>
      </c>
      <c r="F20" s="23" t="n">
        <f aca="false">E20</f>
        <v>115</v>
      </c>
    </row>
    <row r="21" customFormat="false" ht="13.5" hidden="false" customHeight="true" outlineLevel="0" collapsed="false">
      <c r="B21" s="24"/>
      <c r="C21" s="25" t="s">
        <v>28</v>
      </c>
      <c r="D21" s="24"/>
      <c r="E21" s="24"/>
      <c r="F21" s="24"/>
    </row>
    <row r="22" customFormat="false" ht="6" hidden="false" customHeight="true" outlineLevel="0" collapsed="false">
      <c r="A22" s="24"/>
      <c r="B22" s="24"/>
      <c r="C22" s="24"/>
      <c r="D22" s="24"/>
      <c r="E22" s="24"/>
      <c r="F22" s="24"/>
      <c r="G22" s="24"/>
    </row>
    <row r="23" customFormat="false" ht="18" hidden="false" customHeight="true" outlineLevel="0" collapsed="false">
      <c r="B23" s="13" t="n">
        <v>3</v>
      </c>
      <c r="C23" s="14" t="s">
        <v>29</v>
      </c>
      <c r="D23" s="15" t="n">
        <v>110</v>
      </c>
      <c r="E23" s="16" t="n">
        <f aca="false">B23*D23</f>
        <v>330</v>
      </c>
      <c r="F23" s="26" t="n">
        <f aca="false">E23</f>
        <v>330</v>
      </c>
    </row>
    <row r="24" customFormat="false" ht="13.5" hidden="false" customHeight="true" outlineLevel="0" collapsed="false">
      <c r="B24" s="17"/>
      <c r="C24" s="18" t="s">
        <v>30</v>
      </c>
      <c r="D24" s="17"/>
      <c r="E24" s="17"/>
      <c r="F24" s="17"/>
    </row>
    <row r="25" customFormat="false" ht="6" hidden="false" customHeight="true" outlineLevel="0" collapsed="false">
      <c r="A25" s="17"/>
      <c r="B25" s="17"/>
      <c r="C25" s="17"/>
      <c r="D25" s="17"/>
      <c r="E25" s="17"/>
      <c r="F25" s="17"/>
      <c r="G25" s="17"/>
    </row>
    <row r="26" customFormat="false" ht="18" hidden="false" customHeight="true" outlineLevel="0" collapsed="false">
      <c r="B26" s="19" t="n">
        <v>6</v>
      </c>
      <c r="C26" s="20" t="s">
        <v>31</v>
      </c>
      <c r="D26" s="21" t="n">
        <v>23.1</v>
      </c>
      <c r="E26" s="22" t="n">
        <f aca="false">B26*D26</f>
        <v>138.6</v>
      </c>
      <c r="F26" s="23" t="n">
        <f aca="false">E26</f>
        <v>138.6</v>
      </c>
    </row>
    <row r="27" customFormat="false" ht="13.5" hidden="false" customHeight="true" outlineLevel="0" collapsed="false">
      <c r="B27" s="24"/>
      <c r="C27" s="25" t="s">
        <v>32</v>
      </c>
      <c r="D27" s="24"/>
      <c r="E27" s="24"/>
      <c r="F27" s="24"/>
    </row>
    <row r="28" customFormat="false" ht="6" hidden="false" customHeight="true" outlineLevel="0" collapsed="false">
      <c r="A28" s="24"/>
      <c r="B28" s="24"/>
      <c r="C28" s="24"/>
      <c r="D28" s="24"/>
      <c r="E28" s="24"/>
      <c r="F28" s="24"/>
      <c r="G28" s="24"/>
    </row>
    <row r="29" customFormat="false" ht="18" hidden="false" customHeight="true" outlineLevel="0" collapsed="false">
      <c r="B29" s="13" t="n">
        <v>1</v>
      </c>
      <c r="C29" s="14" t="s">
        <v>33</v>
      </c>
      <c r="D29" s="15" t="n">
        <v>85</v>
      </c>
      <c r="E29" s="16" t="n">
        <f aca="false">B29*D29</f>
        <v>85</v>
      </c>
    </row>
    <row r="30" customFormat="false" ht="6" hidden="false" customHeight="true" outlineLevel="0" collapsed="false">
      <c r="A30" s="17"/>
      <c r="B30" s="17"/>
      <c r="C30" s="17"/>
      <c r="D30" s="17"/>
      <c r="E30" s="17"/>
      <c r="F30" s="17"/>
      <c r="G30" s="17"/>
    </row>
    <row r="31" customFormat="false" ht="18" hidden="false" customHeight="true" outlineLevel="0" collapsed="false">
      <c r="B31" s="19" t="n">
        <v>1</v>
      </c>
      <c r="C31" s="20" t="s">
        <v>34</v>
      </c>
      <c r="D31" s="21" t="n">
        <v>27</v>
      </c>
      <c r="E31" s="22" t="n">
        <f aca="false">B31*D31</f>
        <v>27</v>
      </c>
      <c r="F31" s="23" t="n">
        <f aca="false">E29+E31</f>
        <v>112</v>
      </c>
    </row>
    <row r="32" customFormat="false" ht="6" hidden="false" customHeight="true" outlineLevel="0" collapsed="false">
      <c r="A32" s="24"/>
      <c r="B32" s="24"/>
      <c r="C32" s="24"/>
      <c r="D32" s="24"/>
      <c r="E32" s="24"/>
      <c r="F32" s="24"/>
      <c r="G32" s="24"/>
    </row>
    <row r="33" customFormat="false" ht="7.5" hidden="false" customHeight="true" outlineLevel="0" collapsed="false"/>
    <row r="34" customFormat="false" ht="21.75" hidden="false" customHeight="true" outlineLevel="0" collapsed="false">
      <c r="E34" s="27" t="s">
        <v>35</v>
      </c>
      <c r="F34" s="28" t="n">
        <f aca="false">F14+F17+F20+F23+F26+F31</f>
        <v>1355.6</v>
      </c>
    </row>
    <row r="35" customFormat="false" ht="18" hidden="false" customHeight="true" outlineLevel="0" collapsed="false">
      <c r="E35" s="27" t="s">
        <v>36</v>
      </c>
      <c r="F35" s="29" t="n">
        <f aca="false">F34*0.23</f>
        <v>311.788</v>
      </c>
    </row>
    <row r="36" customFormat="false" ht="27.75" hidden="false" customHeight="true" outlineLevel="0" collapsed="false">
      <c r="A36" s="1"/>
      <c r="B36" s="1"/>
      <c r="C36" s="1"/>
      <c r="D36" s="30" t="s">
        <v>37</v>
      </c>
      <c r="E36" s="30"/>
      <c r="F36" s="31" t="n">
        <f aca="false">F34+F35</f>
        <v>1667.388</v>
      </c>
      <c r="G36" s="1"/>
    </row>
    <row r="37" customFormat="false" ht="18" hidden="false" customHeight="true" outlineLevel="0" collapsed="false">
      <c r="B37" s="32" t="s">
        <v>38</v>
      </c>
      <c r="C37" s="32"/>
      <c r="D37" s="32"/>
      <c r="E37" s="32"/>
      <c r="F37" s="32"/>
    </row>
    <row r="38" customFormat="false" ht="7.5" hidden="false" customHeight="true" outlineLevel="0" collapsed="false"/>
    <row r="39" customFormat="false" ht="3.75" hidden="false" customHeight="true" outlineLevel="0" collapsed="false">
      <c r="A39" s="9"/>
      <c r="B39" s="9"/>
      <c r="C39" s="9"/>
      <c r="D39" s="9"/>
      <c r="E39" s="9"/>
      <c r="F39" s="9"/>
      <c r="G39" s="9"/>
    </row>
    <row r="40" customFormat="false" ht="21.75" hidden="false" customHeight="true" outlineLevel="0" collapsed="false">
      <c r="A40" s="1"/>
      <c r="B40" s="33" t="s">
        <v>39</v>
      </c>
      <c r="C40" s="1"/>
      <c r="D40" s="34" t="s">
        <v>40</v>
      </c>
      <c r="E40" s="34"/>
      <c r="F40" s="35" t="s">
        <v>41</v>
      </c>
      <c r="G40" s="1"/>
    </row>
  </sheetData>
  <mergeCells count="4">
    <mergeCell ref="E2:F2"/>
    <mergeCell ref="D36:E36"/>
    <mergeCell ref="B37:F37"/>
    <mergeCell ref="D40:E4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2026-04-17T10:27:45Z</dcterms:created>
  <dc:creator>openpyxl</dc:creator>
  <dc:description/>
  <dc:language>en-US</dc:language>
  <cp:lastModifiedBy/>
  <dcterms:modified xsi:type="dcterms:W3CDTF">2026-04-17T10:27:45Z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