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2. Financeiro/2.0 Propostas/Divisões quotas/Sócios e divisões de lucros RA_JS/"/>
    </mc:Choice>
  </mc:AlternateContent>
  <xr:revisionPtr revIDLastSave="577" documentId="13_ncr:1_{1CD4E8AD-E749-48D6-86A8-889BB655B34A}" xr6:coauthVersionLast="47" xr6:coauthVersionMax="47" xr10:uidLastSave="{EA7AB733-F5CB-40D1-ABEA-A13F80AA11B1}"/>
  <bookViews>
    <workbookView xWindow="-108" yWindow="-108" windowWidth="23256" windowHeight="12456" activeTab="1" xr2:uid="{CBC5FC37-59FB-4B0F-90C3-763AAC28F3B2}"/>
  </bookViews>
  <sheets>
    <sheet name="Gastos 1º ano" sheetId="1" r:id="rId1"/>
    <sheet name="Disponibilidade  e 1ºENTRADA" sheetId="2" r:id="rId2"/>
    <sheet name="Divisão de Quotas" sheetId="6" r:id="rId3"/>
    <sheet name="Lucro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6" i="2"/>
  <c r="D14" i="2"/>
  <c r="E7" i="2"/>
  <c r="E8" i="2"/>
  <c r="E9" i="2"/>
  <c r="E10" i="2"/>
  <c r="E11" i="2"/>
  <c r="E12" i="2"/>
  <c r="E13" i="2"/>
  <c r="E5" i="2"/>
  <c r="K3" i="1"/>
  <c r="F12" i="6"/>
  <c r="H12" i="3"/>
  <c r="G4" i="3"/>
  <c r="G9" i="3" s="1"/>
  <c r="K4" i="3" a="1"/>
  <c r="K4" i="3" s="1"/>
  <c r="L4" i="3" s="1"/>
  <c r="G11" i="3"/>
  <c r="E14" i="2" l="1"/>
  <c r="L9" i="3"/>
  <c r="G8" i="3"/>
  <c r="G6" i="3"/>
  <c r="G7" i="3"/>
  <c r="G10" i="3"/>
  <c r="G5" i="3"/>
  <c r="L6" i="3"/>
  <c r="L7" i="3"/>
  <c r="L8" i="3"/>
  <c r="L5" i="3"/>
  <c r="K2" i="1"/>
  <c r="F2" i="2"/>
  <c r="F13" i="2" s="1"/>
  <c r="C11" i="6" s="1"/>
  <c r="F11" i="2" l="1"/>
  <c r="C9" i="6" s="1"/>
  <c r="F12" i="2"/>
  <c r="C10" i="6" s="1"/>
  <c r="F9" i="2"/>
  <c r="C7" i="6" s="1"/>
  <c r="F6" i="2"/>
  <c r="C4" i="6" s="1"/>
  <c r="F10" i="2"/>
  <c r="C8" i="6" s="1"/>
  <c r="F7" i="2"/>
  <c r="C5" i="6" s="1"/>
  <c r="F8" i="2"/>
  <c r="C6" i="6" s="1"/>
  <c r="F5" i="2"/>
  <c r="C3" i="6" s="1"/>
  <c r="L10" i="3"/>
  <c r="M10" i="3" s="1"/>
  <c r="M9" i="3"/>
  <c r="M8" i="3"/>
  <c r="M6" i="3"/>
  <c r="M4" i="3"/>
  <c r="M5" i="3"/>
  <c r="M7" i="3"/>
  <c r="K4" i="1"/>
  <c r="D11" i="6" l="1"/>
  <c r="D5" i="6"/>
  <c r="D8" i="6"/>
  <c r="D4" i="6"/>
  <c r="D7" i="6"/>
  <c r="D6" i="6"/>
  <c r="D10" i="6"/>
  <c r="D3" i="6"/>
  <c r="D9" i="6"/>
  <c r="F14" i="2"/>
  <c r="D12" i="6" l="1"/>
  <c r="E6" i="6"/>
  <c r="G6" i="6" s="1"/>
  <c r="E5" i="6"/>
  <c r="G5" i="6" s="1"/>
  <c r="E10" i="6"/>
  <c r="G10" i="6" s="1"/>
  <c r="E11" i="6"/>
  <c r="G11" i="6" s="1"/>
  <c r="E4" i="6"/>
  <c r="G4" i="6" s="1"/>
  <c r="E9" i="6"/>
  <c r="G9" i="6" s="1"/>
  <c r="E8" i="6"/>
  <c r="G8" i="6" s="1"/>
  <c r="E7" i="6"/>
  <c r="G7" i="6" s="1"/>
  <c r="C12" i="6"/>
  <c r="E3" i="6" l="1"/>
  <c r="E12" i="6" s="1"/>
  <c r="G3" i="6" l="1"/>
  <c r="G1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tc={3FC7B150-1B98-4E0B-B621-74E0B2FE2811}</author>
  </authors>
  <commentList>
    <comment ref="F10" authorId="0" shapeId="0" xr:uid="{3FC7B150-1B98-4E0B-B621-74E0B2FE2811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 de caso para caso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<sst xmlns="http://schemas.openxmlformats.org/spreadsheetml/2006/main" count="87" uniqueCount="62">
  <si>
    <t>Percentagem de investimento</t>
  </si>
  <si>
    <t>Mateus Rocchi</t>
  </si>
  <si>
    <t>Henrique Carneiro</t>
  </si>
  <si>
    <t>José Silva</t>
  </si>
  <si>
    <t>Rui Alves</t>
  </si>
  <si>
    <t>Rodrigo Capelas</t>
  </si>
  <si>
    <t>João Castro</t>
  </si>
  <si>
    <t>Opção FINANCIAMENTO</t>
  </si>
  <si>
    <t>Nicolau Teixeira</t>
  </si>
  <si>
    <t>Inês César</t>
  </si>
  <si>
    <t>Catarina</t>
  </si>
  <si>
    <t>Total:</t>
  </si>
  <si>
    <t>Despesas únicas</t>
  </si>
  <si>
    <t>Despesas mensais</t>
  </si>
  <si>
    <t>Despesas anuais</t>
  </si>
  <si>
    <t>Projeção de gastos 1ºano</t>
  </si>
  <si>
    <t>Sociedade anonima?</t>
  </si>
  <si>
    <t>Abrir empresa</t>
  </si>
  <si>
    <t>Margem</t>
  </si>
  <si>
    <t>Sociedade p quotas</t>
  </si>
  <si>
    <t>Construção do PA</t>
  </si>
  <si>
    <t>Contabilista</t>
  </si>
  <si>
    <t>Aluguer de um espaço</t>
  </si>
  <si>
    <t>Domínio de um site?</t>
  </si>
  <si>
    <t>PA inteiro</t>
  </si>
  <si>
    <t>1/2 PA</t>
  </si>
  <si>
    <t>Aluguer</t>
  </si>
  <si>
    <t>Caixa</t>
  </si>
  <si>
    <t>Serviço</t>
  </si>
  <si>
    <t>Royalty (Total)</t>
  </si>
  <si>
    <t>Contacto</t>
  </si>
  <si>
    <t>Venda</t>
  </si>
  <si>
    <t>IRC</t>
  </si>
  <si>
    <t>Preço</t>
  </si>
  <si>
    <t>Transporte</t>
  </si>
  <si>
    <t>Preço (c/IVA)</t>
  </si>
  <si>
    <t>Preço total (c/IVA)</t>
  </si>
  <si>
    <t>Custos</t>
  </si>
  <si>
    <t>Lucro</t>
  </si>
  <si>
    <t>TUDO SUJEITO IVA</t>
  </si>
  <si>
    <t>Valor bruto :</t>
  </si>
  <si>
    <t xml:space="preserve">Total em % : </t>
  </si>
  <si>
    <t>Percentagens:</t>
  </si>
  <si>
    <t>TOTAL:</t>
  </si>
  <si>
    <t>Disponibilidade de investimento</t>
  </si>
  <si>
    <t>Projeção 1º ano (entrada):</t>
  </si>
  <si>
    <t>Valor da primeira entrada</t>
  </si>
  <si>
    <t>1º ENTRADA</t>
  </si>
  <si>
    <t>Percentagem</t>
  </si>
  <si>
    <t>Valor de Quota por investimento</t>
  </si>
  <si>
    <t>Valor de Quota por trabalho</t>
  </si>
  <si>
    <t>Quota por trabalho:</t>
  </si>
  <si>
    <t>Quota por Investimento:</t>
  </si>
  <si>
    <t>Quota total</t>
  </si>
  <si>
    <t>Carrinha</t>
  </si>
  <si>
    <t>Staff</t>
  </si>
  <si>
    <t>Joao Castro</t>
  </si>
  <si>
    <t>Administação</t>
  </si>
  <si>
    <t>Marketing e Comunicação</t>
  </si>
  <si>
    <t>Operações</t>
  </si>
  <si>
    <t>Opção 1</t>
  </si>
  <si>
    <t>Opção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</si>
</sst>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0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  <xf numFmtId="9" fontId="0" fillId="0" borderId="0" xfId="0" applyNumberFormat="1"/>
    <xf numFmtId="9" fontId="0" fillId="4" borderId="1" xfId="2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64" fontId="0" fillId="4" borderId="4" xfId="0" applyNumberFormat="1" applyFill="1" applyBorder="1"/>
    <xf numFmtId="0" fontId="0" fillId="3" borderId="9" xfId="0" applyFill="1" applyBorder="1"/>
    <xf numFmtId="164" fontId="0" fillId="4" borderId="13" xfId="0" applyNumberFormat="1" applyFill="1" applyBorder="1"/>
    <xf numFmtId="0" fontId="0" fillId="3" borderId="14" xfId="0" applyFill="1" applyBorder="1"/>
    <xf numFmtId="164" fontId="0" fillId="4" borderId="16" xfId="0" applyNumberFormat="1" applyFill="1" applyBorder="1"/>
    <xf numFmtId="164" fontId="0" fillId="4" borderId="11" xfId="0" applyNumberFormat="1" applyFill="1" applyBorder="1"/>
    <xf numFmtId="164" fontId="0" fillId="4" borderId="2" xfId="0" applyNumberFormat="1" applyFill="1" applyBorder="1"/>
    <xf numFmtId="9" fontId="0" fillId="4" borderId="14" xfId="0" applyNumberFormat="1" applyFill="1" applyBorder="1" applyAlignment="1">
      <alignment horizontal="right"/>
    </xf>
    <xf numFmtId="9" fontId="0" fillId="4" borderId="6" xfId="0" applyNumberFormat="1" applyFill="1" applyBorder="1" applyAlignment="1">
      <alignment horizontal="right"/>
    </xf>
    <xf numFmtId="10" fontId="0" fillId="4" borderId="6" xfId="0" applyNumberFormat="1" applyFill="1" applyBorder="1" applyAlignment="1">
      <alignment horizontal="right"/>
    </xf>
    <xf numFmtId="164" fontId="0" fillId="4" borderId="3" xfId="0" applyNumberFormat="1" applyFill="1" applyBorder="1" applyAlignment="1">
      <alignment horizontal="center"/>
    </xf>
    <xf numFmtId="0" fontId="3" fillId="3" borderId="17" xfId="0" applyFont="1" applyFill="1" applyBorder="1" applyAlignment="1">
      <alignment horizontal="right"/>
    </xf>
    <xf numFmtId="0" fontId="3" fillId="3" borderId="12" xfId="0" applyFont="1" applyFill="1" applyBorder="1"/>
    <xf numFmtId="0" fontId="3" fillId="3" borderId="10" xfId="0" applyFont="1" applyFill="1" applyBorder="1"/>
    <xf numFmtId="0" fontId="3" fillId="3" borderId="3" xfId="0" applyFont="1" applyFill="1" applyBorder="1"/>
    <xf numFmtId="0" fontId="3" fillId="3" borderId="15" xfId="0" applyFont="1" applyFill="1" applyBorder="1" applyAlignment="1">
      <alignment horizontal="center"/>
    </xf>
    <xf numFmtId="0" fontId="0" fillId="5" borderId="0" xfId="0" applyFill="1"/>
    <xf numFmtId="44" fontId="0" fillId="4" borderId="21" xfId="1" applyFont="1" applyFill="1" applyBorder="1"/>
    <xf numFmtId="164" fontId="0" fillId="4" borderId="22" xfId="0" applyNumberFormat="1" applyFill="1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7" borderId="5" xfId="0" applyFill="1" applyBorder="1"/>
    <xf numFmtId="44" fontId="0" fillId="7" borderId="18" xfId="1" applyFont="1" applyFill="1" applyBorder="1"/>
    <xf numFmtId="9" fontId="0" fillId="7" borderId="19" xfId="2" applyFont="1" applyFill="1" applyBorder="1"/>
    <xf numFmtId="164" fontId="0" fillId="7" borderId="20" xfId="0" applyNumberFormat="1" applyFill="1" applyBorder="1"/>
    <xf numFmtId="0" fontId="0" fillId="4" borderId="6" xfId="0" applyFill="1" applyBorder="1"/>
    <xf numFmtId="0" fontId="0" fillId="6" borderId="6" xfId="0" applyFill="1" applyBorder="1"/>
    <xf numFmtId="44" fontId="0" fillId="6" borderId="21" xfId="1" applyFont="1" applyFill="1" applyBorder="1"/>
    <xf numFmtId="9" fontId="0" fillId="6" borderId="1" xfId="2" applyFont="1" applyFill="1" applyBorder="1"/>
    <xf numFmtId="164" fontId="0" fillId="6" borderId="22" xfId="0" applyNumberFormat="1" applyFill="1" applyBorder="1"/>
    <xf numFmtId="0" fontId="0" fillId="8" borderId="6" xfId="0" applyFill="1" applyBorder="1"/>
    <xf numFmtId="44" fontId="0" fillId="8" borderId="21" xfId="1" applyFont="1" applyFill="1" applyBorder="1"/>
    <xf numFmtId="9" fontId="0" fillId="8" borderId="1" xfId="2" applyFont="1" applyFill="1" applyBorder="1"/>
    <xf numFmtId="164" fontId="0" fillId="8" borderId="22" xfId="0" applyNumberFormat="1" applyFill="1" applyBorder="1"/>
    <xf numFmtId="0" fontId="0" fillId="9" borderId="6" xfId="0" applyFill="1" applyBorder="1"/>
    <xf numFmtId="44" fontId="0" fillId="9" borderId="21" xfId="1" applyFont="1" applyFill="1" applyBorder="1"/>
    <xf numFmtId="9" fontId="0" fillId="9" borderId="1" xfId="2" applyFont="1" applyFill="1" applyBorder="1"/>
    <xf numFmtId="164" fontId="0" fillId="9" borderId="22" xfId="0" applyNumberFormat="1" applyFill="1" applyBorder="1"/>
    <xf numFmtId="0" fontId="0" fillId="10" borderId="7" xfId="0" applyFill="1" applyBorder="1"/>
    <xf numFmtId="44" fontId="0" fillId="10" borderId="23" xfId="1" applyFont="1" applyFill="1" applyBorder="1"/>
    <xf numFmtId="9" fontId="0" fillId="10" borderId="24" xfId="2" applyFont="1" applyFill="1" applyBorder="1"/>
    <xf numFmtId="164" fontId="0" fillId="10" borderId="25" xfId="0" applyNumberFormat="1" applyFill="1" applyBorder="1"/>
    <xf numFmtId="9" fontId="0" fillId="4" borderId="3" xfId="0" applyNumberFormat="1" applyFill="1" applyBorder="1"/>
    <xf numFmtId="164" fontId="0" fillId="4" borderId="15" xfId="0" applyNumberFormat="1" applyFill="1" applyBorder="1"/>
    <xf numFmtId="9" fontId="0" fillId="4" borderId="8" xfId="0" applyNumberFormat="1" applyFill="1" applyBorder="1" applyAlignment="1">
      <alignment horizontal="right"/>
    </xf>
    <xf numFmtId="9" fontId="0" fillId="4" borderId="3" xfId="0" applyNumberFormat="1" applyFill="1" applyBorder="1" applyAlignment="1">
      <alignment horizontal="right"/>
    </xf>
    <xf numFmtId="44" fontId="0" fillId="5" borderId="0" xfId="0" applyNumberFormat="1" applyFill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10" fontId="0" fillId="0" borderId="0" xfId="2" applyNumberFormat="1" applyFont="1"/>
    <xf numFmtId="0" fontId="0" fillId="0" borderId="17" xfId="0" applyBorder="1" applyAlignment="1">
      <alignment horizontal="right"/>
    </xf>
    <xf numFmtId="165" fontId="0" fillId="0" borderId="15" xfId="0" applyNumberFormat="1" applyBorder="1" applyAlignment="1">
      <alignment horizontal="left"/>
    </xf>
    <xf numFmtId="9" fontId="0" fillId="11" borderId="26" xfId="2" applyFont="1" applyFill="1" applyBorder="1"/>
    <xf numFmtId="9" fontId="0" fillId="0" borderId="26" xfId="2" applyFont="1" applyBorder="1"/>
    <xf numFmtId="9" fontId="0" fillId="11" borderId="26" xfId="2" applyFont="1" applyFill="1" applyBorder="1" applyProtection="1">
      <protection locked="0"/>
    </xf>
    <xf numFmtId="9" fontId="0" fillId="0" borderId="26" xfId="2" applyFont="1" applyBorder="1" applyProtection="1">
      <protection locked="0"/>
    </xf>
    <xf numFmtId="9" fontId="0" fillId="0" borderId="0" xfId="2" applyFont="1" applyProtection="1"/>
    <xf numFmtId="44" fontId="0" fillId="0" borderId="0" xfId="1" applyFont="1" applyProtection="1">
      <protection locked="0"/>
    </xf>
    <xf numFmtId="0" fontId="0" fillId="0" borderId="0" xfId="0" applyProtection="1">
      <protection locked="0"/>
    </xf>
    <xf numFmtId="44" fontId="0" fillId="6" borderId="0" xfId="1" applyFont="1" applyFill="1" applyProtection="1">
      <protection locked="0"/>
    </xf>
    <xf numFmtId="9" fontId="0" fillId="11" borderId="27" xfId="2" applyFont="1" applyFill="1" applyBorder="1" applyProtection="1">
      <protection locked="0"/>
    </xf>
    <xf numFmtId="44" fontId="0" fillId="0" borderId="11" xfId="1" applyFont="1" applyBorder="1"/>
    <xf numFmtId="9" fontId="0" fillId="0" borderId="11" xfId="2" applyFont="1" applyBorder="1"/>
    <xf numFmtId="9" fontId="0" fillId="0" borderId="29" xfId="2" applyFont="1" applyBorder="1"/>
    <xf numFmtId="0" fontId="0" fillId="6" borderId="30" xfId="0" applyFill="1" applyBorder="1"/>
    <xf numFmtId="0" fontId="0" fillId="0" borderId="31" xfId="0" applyBorder="1"/>
    <xf numFmtId="0" fontId="0" fillId="6" borderId="31" xfId="0" applyFill="1" applyBorder="1"/>
    <xf numFmtId="0" fontId="0" fillId="0" borderId="28" xfId="0" applyBorder="1" applyAlignment="1">
      <alignment horizontal="right"/>
    </xf>
    <xf numFmtId="0" fontId="2" fillId="2" borderId="9" xfId="3" applyBorder="1" applyAlignment="1">
      <alignment horizontal="center"/>
    </xf>
    <xf numFmtId="0" fontId="2" fillId="2" borderId="10" xfId="3" applyBorder="1" applyAlignment="1">
      <alignment horizontal="center"/>
    </xf>
    <xf numFmtId="0" fontId="3" fillId="3" borderId="17" xfId="0" applyFont="1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3" borderId="15" xfId="0" applyFill="1" applyBorder="1" applyAlignment="1">
      <alignment horizontal="right"/>
    </xf>
  </cellXfs>
  <cellStyles count="4">
    <cellStyle name="Bad" xfId="3" builtinId="27"/>
    <cellStyle name="Currency" xfId="1" builtinId="4"/>
    <cellStyle name="Normal" xfId="0" builtinId="0"/>
    <cellStyle name="Percent" xfId="2" builtinId="5"/>
  </cellStyles>
  <dxfs count="8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* #,##0.00\ &quot;€&quot;_-;\-* #,##0.00\ &quot;€&quot;_-;_-* &quot;-&quot;??\ &quot;€&quot;_-;_-@_-"/>
      <protection locked="0" hidden="0"/>
    </dxf>
    <dxf>
      <numFmt numFmtId="34" formatCode="_-* #,##0.00\ &quot;€&quot;_-;\-* #,##0.00\ &quot;€&quot;_-;_-* &quot;-&quot;??\ &quot;€&quot;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ão Castro" id="{ED259D2A-10CA-4261-BE06-DABC35A2586F}" userId="dcb066dedf5e8a4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2A63E-9D14-42BA-AC83-E7914E2A2481}" name="Table2" displayName="Table2" ref="D4:F13" totalsRowShown="0">
  <autoFilter ref="D4:F13" xr:uid="{2D12A63E-9D14-42BA-AC83-E7914E2A2481}"/>
  <tableColumns count="3">
    <tableColumn id="1" xr3:uid="{844E9FA4-545E-4DC2-9804-22E8FFE2475F}" name="Disponibilidade de investimento" dataDxfId="7" dataCellStyle="Currency"/>
    <tableColumn id="2" xr3:uid="{8D445C3D-3166-40D6-8D2A-8FEE3463D091}" name="Percentagem de investimento" dataDxfId="6" dataCellStyle="Percent">
      <calculatedColumnFormula>D5/SUM(($D$5:$D$13))</calculatedColumnFormula>
    </tableColumn>
    <tableColumn id="3" xr3:uid="{0584E048-61A7-4247-9F92-1F44E22301B8}" name="Valor da primeira entrada" dataDxfId="5">
      <calculatedColumnFormula>$F$2*E5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160E2-50B8-42CA-99D5-FB5B9AD85CE0}" name="Table1" displayName="Table1" ref="C2:G11" totalsRowShown="0">
  <autoFilter ref="C2:G11" xr:uid="{13C160E2-50B8-42CA-99D5-FB5B9AD85CE0}"/>
  <tableColumns count="5">
    <tableColumn id="1" xr3:uid="{54903869-FDDF-4FC0-A0A1-68D0586C7826}" name="1º ENTRADA" dataDxfId="4" dataCellStyle="Currency">
      <calculatedColumnFormula>'Disponibilidade  e 1ºENTRADA'!F5</calculatedColumnFormula>
    </tableColumn>
    <tableColumn id="2" xr3:uid="{6FB2DF6D-C2B1-4184-A5F4-7F317AED6DE1}" name="Percentagem" dataDxfId="3" dataCellStyle="Percent">
      <calculatedColumnFormula>C3/SUM($C$3:$C$11)</calculatedColumnFormula>
    </tableColumn>
    <tableColumn id="3" xr3:uid="{410F7522-839E-401D-BC1E-D5365D5A00EC}" name="Valor de Quota por investimento" dataDxfId="2">
      <calculatedColumnFormula>D3*$J$6</calculatedColumnFormula>
    </tableColumn>
    <tableColumn id="4" xr3:uid="{306525BD-F916-44D9-A223-E6CA637A2DDA}" name="Valor de Quota por trabalho" dataDxfId="1" dataCellStyle="Percent"/>
    <tableColumn id="5" xr3:uid="{7726FF6D-FCFE-4F64-B203-FD385D593109}" name="Quota total" dataDxfId="0">
      <calculatedColumnFormula>E3+F3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1-31T03:28:44.90" personId="{ED259D2A-10CA-4261-BE06-DABC35A2586F}" id="{3FC7B150-1B98-4E0B-B621-74E0B2FE2811}">
    <text>Depende de caso para caso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230B-6D89-49AF-A5CE-6A97BDAB7314}">
  <dimension ref="A2:K9"/>
  <sheetViews>
    <sheetView topLeftCell="C1" zoomScale="135" zoomScaleNormal="175" workbookViewId="0">
      <selection activeCell="F8" sqref="F8"/>
    </sheetView>
  </sheetViews>
  <sheetFormatPr defaultRowHeight="14.4" x14ac:dyDescent="0.3"/>
  <cols>
    <col min="4" max="4" width="18.6640625" bestFit="1" customWidth="1"/>
    <col min="5" max="5" width="14.6640625" bestFit="1" customWidth="1"/>
    <col min="6" max="6" width="16.109375" bestFit="1" customWidth="1"/>
    <col min="7" max="7" width="14.6640625" bestFit="1" customWidth="1"/>
    <col min="10" max="10" width="27.88671875" bestFit="1" customWidth="1"/>
    <col min="11" max="11" width="12.33203125" bestFit="1" customWidth="1"/>
    <col min="13" max="13" width="20.6640625" bestFit="1" customWidth="1"/>
    <col min="14" max="14" width="15.88671875" bestFit="1" customWidth="1"/>
    <col min="15" max="15" width="11.5546875" bestFit="1" customWidth="1"/>
    <col min="16" max="16" width="22" bestFit="1" customWidth="1"/>
  </cols>
  <sheetData>
    <row r="2" spans="1:11" x14ac:dyDescent="0.3">
      <c r="J2" t="s">
        <v>44</v>
      </c>
      <c r="K2" s="2">
        <f>'Disponibilidade  e 1ºENTRADA'!D14</f>
        <v>5600</v>
      </c>
    </row>
    <row r="3" spans="1:11" x14ac:dyDescent="0.3">
      <c r="E3" t="s">
        <v>12</v>
      </c>
      <c r="F3" t="s">
        <v>13</v>
      </c>
      <c r="G3" t="s">
        <v>14</v>
      </c>
      <c r="J3" t="s">
        <v>15</v>
      </c>
      <c r="K3" s="2">
        <f>E4+E5+E6+SUM(F7:F8)*12+G9</f>
        <v>5587</v>
      </c>
    </row>
    <row r="4" spans="1:11" x14ac:dyDescent="0.3">
      <c r="A4" t="s">
        <v>16</v>
      </c>
      <c r="D4" t="s">
        <v>17</v>
      </c>
      <c r="E4" s="1">
        <f>300+75</f>
        <v>375</v>
      </c>
      <c r="F4" s="1"/>
      <c r="G4" s="1"/>
      <c r="J4" t="s">
        <v>18</v>
      </c>
      <c r="K4" s="2">
        <f>K2-K3</f>
        <v>13</v>
      </c>
    </row>
    <row r="5" spans="1:11" x14ac:dyDescent="0.3">
      <c r="A5" t="s">
        <v>19</v>
      </c>
      <c r="D5" t="s">
        <v>20</v>
      </c>
      <c r="E5" s="1">
        <v>5200</v>
      </c>
      <c r="F5" s="1"/>
      <c r="G5" s="1"/>
    </row>
    <row r="6" spans="1:11" x14ac:dyDescent="0.3">
      <c r="D6" t="s">
        <v>54</v>
      </c>
      <c r="E6" s="1"/>
    </row>
    <row r="7" spans="1:11" x14ac:dyDescent="0.3">
      <c r="D7" t="s">
        <v>21</v>
      </c>
      <c r="E7" s="1"/>
      <c r="F7" s="1"/>
      <c r="G7" s="1"/>
    </row>
    <row r="8" spans="1:11" x14ac:dyDescent="0.3">
      <c r="D8" t="s">
        <v>22</v>
      </c>
      <c r="E8" s="1"/>
      <c r="F8" s="1"/>
      <c r="G8" s="1"/>
    </row>
    <row r="9" spans="1:11" x14ac:dyDescent="0.3">
      <c r="D9" t="s">
        <v>23</v>
      </c>
      <c r="E9" s="1"/>
      <c r="F9" s="1"/>
      <c r="G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D2AE-12A6-455E-9130-81E202C22A05}">
  <dimension ref="C1:F43"/>
  <sheetViews>
    <sheetView tabSelected="1" topLeftCell="B1" zoomScale="130" zoomScaleNormal="130" workbookViewId="0">
      <selection activeCell="D7" sqref="D7"/>
    </sheetView>
  </sheetViews>
  <sheetFormatPr defaultRowHeight="14.4" x14ac:dyDescent="0.3"/>
  <cols>
    <col min="2" max="2" width="20.33203125" bestFit="1" customWidth="1"/>
    <col min="3" max="3" width="15.88671875" bestFit="1" customWidth="1"/>
    <col min="4" max="4" width="30.6640625" bestFit="1" customWidth="1"/>
    <col min="5" max="5" width="28.33203125" bestFit="1" customWidth="1"/>
    <col min="6" max="6" width="24.6640625" bestFit="1" customWidth="1"/>
    <col min="7" max="7" width="25.77734375" bestFit="1" customWidth="1"/>
    <col min="8" max="8" width="21.88671875" bestFit="1" customWidth="1"/>
  </cols>
  <sheetData>
    <row r="1" spans="3:6" ht="15" thickBot="1" x14ac:dyDescent="0.35"/>
    <row r="2" spans="3:6" ht="15" thickBot="1" x14ac:dyDescent="0.35">
      <c r="E2" s="66" t="s">
        <v>45</v>
      </c>
      <c r="F2" s="67">
        <f>'Gastos 1º ano'!K3</f>
        <v>5587</v>
      </c>
    </row>
    <row r="4" spans="3:6" x14ac:dyDescent="0.3">
      <c r="D4" t="s">
        <v>44</v>
      </c>
      <c r="E4" t="s">
        <v>0</v>
      </c>
      <c r="F4" t="s">
        <v>46</v>
      </c>
    </row>
    <row r="5" spans="3:6" x14ac:dyDescent="0.3">
      <c r="C5" t="s">
        <v>1</v>
      </c>
      <c r="D5" s="73"/>
      <c r="E5" s="72">
        <f>D5/SUM(($D$5:$D$13))</f>
        <v>0</v>
      </c>
      <c r="F5" s="2">
        <f>$F$2*E5</f>
        <v>0</v>
      </c>
    </row>
    <row r="6" spans="3:6" x14ac:dyDescent="0.3">
      <c r="C6" t="s">
        <v>2</v>
      </c>
      <c r="D6" s="73">
        <v>3900</v>
      </c>
      <c r="E6" s="72">
        <f>D6/SUM(($D$5:$D$13))</f>
        <v>0.6964285714285714</v>
      </c>
      <c r="F6" s="2">
        <f t="shared" ref="F6:F13" si="0">$F$2*E6</f>
        <v>3890.9464285714284</v>
      </c>
    </row>
    <row r="7" spans="3:6" x14ac:dyDescent="0.3">
      <c r="C7" t="s">
        <v>3</v>
      </c>
      <c r="D7" s="73">
        <v>500</v>
      </c>
      <c r="E7" s="72">
        <f t="shared" ref="E7:E13" si="1">D7/SUM(($D$5:$D$13))</f>
        <v>8.9285714285714288E-2</v>
      </c>
      <c r="F7" s="2">
        <f t="shared" si="0"/>
        <v>498.83928571428572</v>
      </c>
    </row>
    <row r="8" spans="3:6" x14ac:dyDescent="0.3">
      <c r="C8" t="s">
        <v>4</v>
      </c>
      <c r="D8" s="73">
        <v>500</v>
      </c>
      <c r="E8" s="72">
        <f t="shared" si="1"/>
        <v>8.9285714285714288E-2</v>
      </c>
      <c r="F8" s="2">
        <f t="shared" si="0"/>
        <v>498.83928571428572</v>
      </c>
    </row>
    <row r="9" spans="3:6" x14ac:dyDescent="0.3">
      <c r="C9" t="s">
        <v>5</v>
      </c>
      <c r="D9" s="73">
        <v>300</v>
      </c>
      <c r="E9" s="72">
        <f t="shared" si="1"/>
        <v>5.3571428571428568E-2</v>
      </c>
      <c r="F9" s="2">
        <f t="shared" si="0"/>
        <v>299.30357142857139</v>
      </c>
    </row>
    <row r="10" spans="3:6" x14ac:dyDescent="0.3">
      <c r="C10" t="s">
        <v>6</v>
      </c>
      <c r="D10" s="73">
        <v>200</v>
      </c>
      <c r="E10" s="72">
        <f t="shared" si="1"/>
        <v>3.5714285714285712E-2</v>
      </c>
      <c r="F10" s="2">
        <f t="shared" si="0"/>
        <v>199.53571428571428</v>
      </c>
    </row>
    <row r="11" spans="3:6" x14ac:dyDescent="0.3">
      <c r="C11" t="s">
        <v>8</v>
      </c>
      <c r="D11" s="74"/>
      <c r="E11" s="72">
        <f t="shared" si="1"/>
        <v>0</v>
      </c>
      <c r="F11" s="2">
        <f t="shared" si="0"/>
        <v>0</v>
      </c>
    </row>
    <row r="12" spans="3:6" x14ac:dyDescent="0.3">
      <c r="C12" t="s">
        <v>9</v>
      </c>
      <c r="D12" s="73">
        <v>200</v>
      </c>
      <c r="E12" s="72">
        <f t="shared" si="1"/>
        <v>3.5714285714285712E-2</v>
      </c>
      <c r="F12" s="2">
        <f t="shared" si="0"/>
        <v>199.53571428571428</v>
      </c>
    </row>
    <row r="13" spans="3:6" x14ac:dyDescent="0.3">
      <c r="C13" t="s">
        <v>10</v>
      </c>
      <c r="D13" s="74"/>
      <c r="E13" s="72">
        <f t="shared" si="1"/>
        <v>0</v>
      </c>
      <c r="F13" s="2">
        <f t="shared" si="0"/>
        <v>0</v>
      </c>
    </row>
    <row r="14" spans="3:6" x14ac:dyDescent="0.3">
      <c r="C14" t="s">
        <v>11</v>
      </c>
      <c r="D14" s="1">
        <f>SUM(D5:D13)</f>
        <v>5600</v>
      </c>
      <c r="E14" s="3">
        <f t="shared" ref="E14:F14" si="2">SUM(E5:E13)</f>
        <v>1</v>
      </c>
      <c r="F14" s="1">
        <f t="shared" si="2"/>
        <v>5587</v>
      </c>
    </row>
    <row r="17" spans="4:5" x14ac:dyDescent="0.3">
      <c r="D17" s="74" t="s">
        <v>7</v>
      </c>
      <c r="E17" s="74"/>
    </row>
    <row r="18" spans="4:5" x14ac:dyDescent="0.3">
      <c r="D18" s="73">
        <v>6000</v>
      </c>
      <c r="E18" s="73">
        <v>10000</v>
      </c>
    </row>
    <row r="19" spans="4:5" x14ac:dyDescent="0.3">
      <c r="D19" s="73">
        <v>7500</v>
      </c>
      <c r="E19" s="73">
        <v>7500</v>
      </c>
    </row>
    <row r="20" spans="4:5" x14ac:dyDescent="0.3">
      <c r="D20" s="73">
        <v>500</v>
      </c>
      <c r="E20" s="73">
        <v>500</v>
      </c>
    </row>
    <row r="21" spans="4:5" x14ac:dyDescent="0.3">
      <c r="D21" s="73">
        <v>600</v>
      </c>
      <c r="E21" s="73">
        <v>600</v>
      </c>
    </row>
    <row r="22" spans="4:5" x14ac:dyDescent="0.3">
      <c r="D22" s="73">
        <v>300</v>
      </c>
      <c r="E22" s="73">
        <v>300</v>
      </c>
    </row>
    <row r="23" spans="4:5" x14ac:dyDescent="0.3">
      <c r="D23" s="73">
        <v>300</v>
      </c>
      <c r="E23" s="73">
        <v>300</v>
      </c>
    </row>
    <row r="24" spans="4:5" x14ac:dyDescent="0.3">
      <c r="D24" s="74"/>
      <c r="E24" s="74"/>
    </row>
    <row r="25" spans="4:5" x14ac:dyDescent="0.3">
      <c r="D25" s="73">
        <v>200</v>
      </c>
      <c r="E25" s="73">
        <v>200</v>
      </c>
    </row>
    <row r="26" spans="4:5" x14ac:dyDescent="0.3">
      <c r="D26" s="74" t="s">
        <v>7</v>
      </c>
      <c r="E26" s="74"/>
    </row>
    <row r="27" spans="4:5" x14ac:dyDescent="0.3">
      <c r="D27" s="73">
        <v>10000</v>
      </c>
      <c r="E27" s="74"/>
    </row>
    <row r="28" spans="4:5" x14ac:dyDescent="0.3">
      <c r="D28" s="73">
        <v>7500</v>
      </c>
      <c r="E28" s="74"/>
    </row>
    <row r="29" spans="4:5" x14ac:dyDescent="0.3">
      <c r="D29" s="73">
        <v>500</v>
      </c>
      <c r="E29" s="74"/>
    </row>
    <row r="30" spans="4:5" x14ac:dyDescent="0.3">
      <c r="D30" s="73">
        <v>600</v>
      </c>
      <c r="E30" s="74"/>
    </row>
    <row r="31" spans="4:5" x14ac:dyDescent="0.3">
      <c r="D31" s="73">
        <v>300</v>
      </c>
      <c r="E31" s="74"/>
    </row>
    <row r="32" spans="4:5" x14ac:dyDescent="0.3">
      <c r="D32" s="73">
        <v>300</v>
      </c>
      <c r="E32" s="74"/>
    </row>
    <row r="33" spans="4:5" x14ac:dyDescent="0.3">
      <c r="D33" s="74"/>
      <c r="E33" s="74"/>
    </row>
    <row r="34" spans="4:5" x14ac:dyDescent="0.3">
      <c r="D34" s="73">
        <v>200</v>
      </c>
      <c r="E34" s="74"/>
    </row>
    <row r="35" spans="4:5" x14ac:dyDescent="0.3">
      <c r="D35" s="74" t="s">
        <v>7</v>
      </c>
      <c r="E35" s="74"/>
    </row>
    <row r="36" spans="4:5" x14ac:dyDescent="0.3">
      <c r="D36" s="73">
        <v>2000</v>
      </c>
      <c r="E36" s="74"/>
    </row>
    <row r="37" spans="4:5" x14ac:dyDescent="0.3">
      <c r="D37" s="73">
        <v>7500</v>
      </c>
      <c r="E37" s="74"/>
    </row>
    <row r="38" spans="4:5" x14ac:dyDescent="0.3">
      <c r="D38" s="73">
        <v>500</v>
      </c>
      <c r="E38" s="74"/>
    </row>
    <row r="39" spans="4:5" x14ac:dyDescent="0.3">
      <c r="D39" s="73">
        <v>600</v>
      </c>
      <c r="E39" s="74"/>
    </row>
    <row r="40" spans="4:5" x14ac:dyDescent="0.3">
      <c r="D40" s="73">
        <v>300</v>
      </c>
      <c r="E40" s="74"/>
    </row>
    <row r="41" spans="4:5" x14ac:dyDescent="0.3">
      <c r="D41" s="73">
        <v>300</v>
      </c>
      <c r="E41" s="74"/>
    </row>
    <row r="43" spans="4:5" x14ac:dyDescent="0.3">
      <c r="D43" s="1">
        <v>200</v>
      </c>
    </row>
  </sheetData>
  <sheetProtection sheet="1" objects="1" scenarios="1" selectLockedCells="1"/>
  <protectedRanges>
    <protectedRange sqref="D5:D13" name="Range1"/>
  </protectedRange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B91C-4167-44E8-863E-8025C59C89E8}">
  <dimension ref="B2:J36"/>
  <sheetViews>
    <sheetView zoomScaleNormal="100" workbookViewId="0">
      <selection activeCell="D16" sqref="D16"/>
    </sheetView>
  </sheetViews>
  <sheetFormatPr defaultRowHeight="14.4" x14ac:dyDescent="0.3"/>
  <cols>
    <col min="2" max="2" width="16.5546875" bestFit="1" customWidth="1"/>
    <col min="3" max="3" width="15.44140625" bestFit="1" customWidth="1"/>
    <col min="4" max="4" width="16.44140625" style="3" bestFit="1" customWidth="1"/>
    <col min="5" max="5" width="28.21875" customWidth="1"/>
    <col min="6" max="6" width="24.44140625" customWidth="1"/>
    <col min="7" max="7" width="11.33203125" customWidth="1"/>
    <col min="9" max="9" width="22.33203125" bestFit="1" customWidth="1"/>
    <col min="10" max="10" width="15.88671875" bestFit="1" customWidth="1"/>
  </cols>
  <sheetData>
    <row r="2" spans="2:10" ht="27.6" customHeight="1" x14ac:dyDescent="0.3">
      <c r="C2" s="61" t="s">
        <v>47</v>
      </c>
      <c r="D2" s="62" t="s">
        <v>48</v>
      </c>
      <c r="E2" s="63" t="s">
        <v>49</v>
      </c>
      <c r="F2" s="63" t="s">
        <v>50</v>
      </c>
      <c r="G2" t="s">
        <v>53</v>
      </c>
    </row>
    <row r="3" spans="2:10" x14ac:dyDescent="0.3">
      <c r="B3" s="80" t="s">
        <v>1</v>
      </c>
      <c r="C3" s="75">
        <f>'Disponibilidade  e 1ºENTRADA'!F5</f>
        <v>0</v>
      </c>
      <c r="D3" s="65">
        <f>C3/SUM($C$3:$C$11)</f>
        <v>0</v>
      </c>
      <c r="E3" s="64">
        <f>D3*$J$6</f>
        <v>0</v>
      </c>
      <c r="F3" s="70">
        <v>0.06</v>
      </c>
      <c r="G3" s="64">
        <f>E3+F3</f>
        <v>0.06</v>
      </c>
    </row>
    <row r="4" spans="2:10" x14ac:dyDescent="0.3">
      <c r="B4" s="81" t="s">
        <v>2</v>
      </c>
      <c r="C4" s="73">
        <f>'Disponibilidade  e 1ºENTRADA'!F6</f>
        <v>3890.9464285714284</v>
      </c>
      <c r="D4" s="65">
        <f t="shared" ref="D4:D11" si="0">C4/SUM($C$3:$C$11)</f>
        <v>0.6964285714285714</v>
      </c>
      <c r="E4" s="64">
        <f t="shared" ref="E4:E11" si="1">D4*$J$6</f>
        <v>0.20892857142857141</v>
      </c>
      <c r="F4" s="71">
        <v>0.12</v>
      </c>
      <c r="G4" s="64">
        <f t="shared" ref="G4:G11" si="2">E4+F4</f>
        <v>0.3289285714285714</v>
      </c>
    </row>
    <row r="5" spans="2:10" x14ac:dyDescent="0.3">
      <c r="B5" s="82" t="s">
        <v>3</v>
      </c>
      <c r="C5" s="75">
        <f>'Disponibilidade  e 1ºENTRADA'!F7</f>
        <v>498.83928571428572</v>
      </c>
      <c r="D5" s="65">
        <f t="shared" si="0"/>
        <v>8.9285714285714288E-2</v>
      </c>
      <c r="E5" s="64">
        <f t="shared" si="1"/>
        <v>2.6785714285714284E-2</v>
      </c>
      <c r="F5" s="70">
        <v>0.12</v>
      </c>
      <c r="G5" s="64">
        <f t="shared" si="2"/>
        <v>0.14678571428571427</v>
      </c>
      <c r="I5" t="s">
        <v>51</v>
      </c>
      <c r="J5" s="4">
        <v>0.7</v>
      </c>
    </row>
    <row r="6" spans="2:10" x14ac:dyDescent="0.3">
      <c r="B6" s="81" t="s">
        <v>4</v>
      </c>
      <c r="C6" s="73">
        <f>'Disponibilidade  e 1ºENTRADA'!F8</f>
        <v>498.83928571428572</v>
      </c>
      <c r="D6" s="65">
        <f t="shared" si="0"/>
        <v>8.9285714285714288E-2</v>
      </c>
      <c r="E6" s="64">
        <f t="shared" si="1"/>
        <v>2.6785714285714284E-2</v>
      </c>
      <c r="F6" s="71">
        <v>0.13</v>
      </c>
      <c r="G6" s="64">
        <f t="shared" si="2"/>
        <v>0.15678571428571428</v>
      </c>
      <c r="I6" t="s">
        <v>52</v>
      </c>
      <c r="J6" s="4">
        <v>0.3</v>
      </c>
    </row>
    <row r="7" spans="2:10" x14ac:dyDescent="0.3">
      <c r="B7" s="82" t="s">
        <v>5</v>
      </c>
      <c r="C7" s="75">
        <f>'Disponibilidade  e 1ºENTRADA'!F9</f>
        <v>299.30357142857139</v>
      </c>
      <c r="D7" s="65">
        <f t="shared" si="0"/>
        <v>5.3571428571428562E-2</v>
      </c>
      <c r="E7" s="64">
        <f t="shared" si="1"/>
        <v>1.6071428571428566E-2</v>
      </c>
      <c r="F7" s="70">
        <v>0.13</v>
      </c>
      <c r="G7" s="64">
        <f t="shared" si="2"/>
        <v>0.14607142857142857</v>
      </c>
    </row>
    <row r="8" spans="2:10" x14ac:dyDescent="0.3">
      <c r="B8" s="81" t="s">
        <v>6</v>
      </c>
      <c r="C8" s="73">
        <f>'Disponibilidade  e 1ºENTRADA'!F10</f>
        <v>199.53571428571428</v>
      </c>
      <c r="D8" s="65">
        <f t="shared" si="0"/>
        <v>3.5714285714285712E-2</v>
      </c>
      <c r="E8" s="64">
        <f t="shared" si="1"/>
        <v>1.0714285714285713E-2</v>
      </c>
      <c r="F8" s="71">
        <v>7.0000000000000007E-2</v>
      </c>
      <c r="G8" s="64">
        <f t="shared" si="2"/>
        <v>8.0714285714285725E-2</v>
      </c>
      <c r="I8" t="s">
        <v>57</v>
      </c>
      <c r="J8" t="s">
        <v>4</v>
      </c>
    </row>
    <row r="9" spans="2:10" x14ac:dyDescent="0.3">
      <c r="B9" s="82" t="s">
        <v>8</v>
      </c>
      <c r="C9" s="75">
        <f>'Disponibilidade  e 1ºENTRADA'!F11</f>
        <v>0</v>
      </c>
      <c r="D9" s="65">
        <f t="shared" si="0"/>
        <v>0</v>
      </c>
      <c r="E9" s="64">
        <f t="shared" si="1"/>
        <v>0</v>
      </c>
      <c r="F9" s="70"/>
      <c r="G9" s="64">
        <f t="shared" si="2"/>
        <v>0</v>
      </c>
      <c r="J9" t="s">
        <v>3</v>
      </c>
    </row>
    <row r="10" spans="2:10" x14ac:dyDescent="0.3">
      <c r="B10" s="81" t="s">
        <v>9</v>
      </c>
      <c r="C10" s="73">
        <f>'Disponibilidade  e 1ºENTRADA'!F12</f>
        <v>199.53571428571428</v>
      </c>
      <c r="D10" s="65">
        <f t="shared" si="0"/>
        <v>3.5714285714285712E-2</v>
      </c>
      <c r="E10" s="64">
        <f t="shared" si="1"/>
        <v>1.0714285714285713E-2</v>
      </c>
      <c r="F10" s="71">
        <v>7.0000000000000007E-2</v>
      </c>
      <c r="G10" s="64">
        <f t="shared" si="2"/>
        <v>8.0714285714285725E-2</v>
      </c>
    </row>
    <row r="11" spans="2:10" x14ac:dyDescent="0.3">
      <c r="B11" s="82" t="s">
        <v>10</v>
      </c>
      <c r="C11" s="75">
        <f>'Disponibilidade  e 1ºENTRADA'!F13</f>
        <v>0</v>
      </c>
      <c r="D11" s="65">
        <f t="shared" si="0"/>
        <v>0</v>
      </c>
      <c r="E11" s="64">
        <f t="shared" si="1"/>
        <v>0</v>
      </c>
      <c r="F11" s="76"/>
      <c r="G11" s="64">
        <f t="shared" si="2"/>
        <v>0</v>
      </c>
      <c r="I11" t="s">
        <v>58</v>
      </c>
      <c r="J11" t="s">
        <v>2</v>
      </c>
    </row>
    <row r="12" spans="2:10" ht="25.8" customHeight="1" x14ac:dyDescent="0.3">
      <c r="B12" s="83" t="s">
        <v>11</v>
      </c>
      <c r="C12" s="77">
        <f>SUM(C3:C8)</f>
        <v>5387.4642857142853</v>
      </c>
      <c r="D12" s="78">
        <f>SUM(D3:D11)</f>
        <v>1</v>
      </c>
      <c r="E12" s="78">
        <f>SUM(E3:E11)</f>
        <v>0.3</v>
      </c>
      <c r="F12" s="78">
        <f>SUM(F3:F11)</f>
        <v>0.70000000000000018</v>
      </c>
      <c r="G12" s="79">
        <f>SUM(G3:G11)</f>
        <v>1</v>
      </c>
      <c r="J12" t="s">
        <v>1</v>
      </c>
    </row>
    <row r="14" spans="2:10" x14ac:dyDescent="0.3">
      <c r="I14" t="s">
        <v>59</v>
      </c>
      <c r="J14" t="s">
        <v>5</v>
      </c>
    </row>
    <row r="16" spans="2:10" x14ac:dyDescent="0.3">
      <c r="I16" t="s">
        <v>55</v>
      </c>
      <c r="J16" t="s">
        <v>56</v>
      </c>
    </row>
    <row r="17" spans="6:10" x14ac:dyDescent="0.3">
      <c r="F17" t="s">
        <v>61</v>
      </c>
      <c r="J17" t="s">
        <v>9</v>
      </c>
    </row>
    <row r="18" spans="6:10" x14ac:dyDescent="0.3">
      <c r="F18" s="68">
        <v>0.06</v>
      </c>
    </row>
    <row r="19" spans="6:10" x14ac:dyDescent="0.3">
      <c r="F19" s="69">
        <v>0.12</v>
      </c>
    </row>
    <row r="20" spans="6:10" x14ac:dyDescent="0.3">
      <c r="F20" s="68">
        <v>0.12</v>
      </c>
    </row>
    <row r="21" spans="6:10" x14ac:dyDescent="0.3">
      <c r="F21" s="69">
        <v>0.13</v>
      </c>
    </row>
    <row r="22" spans="6:10" x14ac:dyDescent="0.3">
      <c r="F22" s="68">
        <v>0.13</v>
      </c>
    </row>
    <row r="23" spans="6:10" x14ac:dyDescent="0.3">
      <c r="F23" s="69">
        <v>7.0000000000000007E-2</v>
      </c>
    </row>
    <row r="24" spans="6:10" x14ac:dyDescent="0.3">
      <c r="F24" s="68"/>
    </row>
    <row r="25" spans="6:10" x14ac:dyDescent="0.3">
      <c r="F25" s="69">
        <v>7.0000000000000007E-2</v>
      </c>
    </row>
    <row r="26" spans="6:10" x14ac:dyDescent="0.3">
      <c r="F26" s="68"/>
    </row>
    <row r="27" spans="6:10" x14ac:dyDescent="0.3">
      <c r="F27" t="s">
        <v>60</v>
      </c>
    </row>
    <row r="28" spans="6:10" x14ac:dyDescent="0.3">
      <c r="F28" s="68">
        <v>0.05</v>
      </c>
    </row>
    <row r="29" spans="6:10" x14ac:dyDescent="0.3">
      <c r="F29" s="69">
        <v>7.0000000000000007E-2</v>
      </c>
    </row>
    <row r="30" spans="6:10" x14ac:dyDescent="0.3">
      <c r="F30" s="68">
        <v>0.1</v>
      </c>
    </row>
    <row r="31" spans="6:10" x14ac:dyDescent="0.3">
      <c r="F31" s="69">
        <v>0.11</v>
      </c>
    </row>
    <row r="32" spans="6:10" x14ac:dyDescent="0.3">
      <c r="F32" s="68">
        <v>0.11</v>
      </c>
    </row>
    <row r="33" spans="6:6" x14ac:dyDescent="0.3">
      <c r="F33" s="69">
        <v>7.0000000000000007E-2</v>
      </c>
    </row>
    <row r="34" spans="6:6" x14ac:dyDescent="0.3">
      <c r="F34" s="68">
        <v>7.0000000000000007E-2</v>
      </c>
    </row>
    <row r="35" spans="6:6" x14ac:dyDescent="0.3">
      <c r="F35" s="69">
        <v>7.0000000000000007E-2</v>
      </c>
    </row>
    <row r="36" spans="6:6" x14ac:dyDescent="0.3">
      <c r="F36" s="68">
        <v>0.05</v>
      </c>
    </row>
  </sheetData>
  <sheetProtection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D5C5-B8DB-46DF-AD4D-694BA46724C0}">
  <dimension ref="A1:BY699"/>
  <sheetViews>
    <sheetView zoomScaleNormal="100" workbookViewId="0">
      <selection activeCell="H24" sqref="H23:H24"/>
    </sheetView>
  </sheetViews>
  <sheetFormatPr defaultRowHeight="14.4" x14ac:dyDescent="0.3"/>
  <cols>
    <col min="2" max="2" width="12.21875" customWidth="1"/>
    <col min="3" max="3" width="11.5546875" bestFit="1" customWidth="1"/>
    <col min="4" max="4" width="12.21875" customWidth="1"/>
    <col min="5" max="5" width="9.33203125" bestFit="1" customWidth="1"/>
    <col min="6" max="6" width="15.5546875" bestFit="1" customWidth="1"/>
    <col min="7" max="7" width="9.21875" bestFit="1" customWidth="1"/>
    <col min="8" max="8" width="14.44140625" customWidth="1"/>
    <col min="9" max="9" width="18.88671875" customWidth="1"/>
    <col min="10" max="10" width="15.5546875" customWidth="1"/>
    <col min="11" max="11" width="13.33203125" customWidth="1"/>
    <col min="12" max="12" width="16.6640625" customWidth="1"/>
    <col min="13" max="13" width="11.5546875" bestFit="1" customWidth="1"/>
    <col min="14" max="14" width="4.5546875" bestFit="1" customWidth="1"/>
    <col min="15" max="15" width="8.21875" bestFit="1" customWidth="1"/>
  </cols>
  <sheetData>
    <row r="1" spans="1:77" ht="15" thickBot="1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</row>
    <row r="2" spans="1:77" ht="15" thickBot="1" x14ac:dyDescent="0.35">
      <c r="A2" s="26"/>
      <c r="B2" s="84" t="s">
        <v>39</v>
      </c>
      <c r="C2" s="8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</row>
    <row r="3" spans="1:77" ht="15" thickBo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</row>
    <row r="4" spans="1:77" ht="15" thickBot="1" x14ac:dyDescent="0.35">
      <c r="A4" s="26"/>
      <c r="B4" s="11"/>
      <c r="C4" s="22" t="s">
        <v>24</v>
      </c>
      <c r="D4" s="23" t="s">
        <v>25</v>
      </c>
      <c r="E4" s="26"/>
      <c r="F4" s="21" t="s">
        <v>40</v>
      </c>
      <c r="G4" s="20">
        <f>C5</f>
        <v>550</v>
      </c>
      <c r="H4" s="25" t="s">
        <v>42</v>
      </c>
      <c r="I4" s="26"/>
      <c r="J4" s="35" t="s">
        <v>1</v>
      </c>
      <c r="K4" s="36" cm="1">
        <f t="array" ref="K4:K9">'Disponibilidade  e 1ºENTRADA'!D5:D10</f>
        <v>0</v>
      </c>
      <c r="L4" s="37">
        <f>K4/SUM($K$4:$K$9)</f>
        <v>0</v>
      </c>
      <c r="M4" s="38">
        <f t="shared" ref="M4:M9" si="0">L4*$G$7</f>
        <v>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</row>
    <row r="5" spans="1:77" ht="15" thickBot="1" x14ac:dyDescent="0.35">
      <c r="A5" s="26"/>
      <c r="B5" s="24" t="s">
        <v>26</v>
      </c>
      <c r="C5" s="12">
        <v>550</v>
      </c>
      <c r="D5" s="10">
        <v>250</v>
      </c>
      <c r="E5" s="26"/>
      <c r="F5" s="13" t="s">
        <v>27</v>
      </c>
      <c r="G5" s="14">
        <f t="shared" ref="G5:G10" si="1">H5*$G$4</f>
        <v>302.5</v>
      </c>
      <c r="H5" s="17">
        <v>0.55000000000000004</v>
      </c>
      <c r="I5" s="26"/>
      <c r="J5" s="39" t="s">
        <v>2</v>
      </c>
      <c r="K5" s="27">
        <v>3900</v>
      </c>
      <c r="L5" s="5">
        <f t="shared" ref="L5:L8" si="2">K5/SUM($K$4:$K$9)</f>
        <v>0.72222222222222221</v>
      </c>
      <c r="M5" s="28">
        <f t="shared" si="0"/>
        <v>35.75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</row>
    <row r="6" spans="1:77" x14ac:dyDescent="0.3">
      <c r="A6" s="26"/>
      <c r="B6" s="26"/>
      <c r="C6" s="26"/>
      <c r="D6" s="26"/>
      <c r="E6" s="26"/>
      <c r="F6" s="7" t="s">
        <v>28</v>
      </c>
      <c r="G6" s="15">
        <f t="shared" si="1"/>
        <v>126.5</v>
      </c>
      <c r="H6" s="18">
        <v>0.23</v>
      </c>
      <c r="I6" s="26"/>
      <c r="J6" s="40" t="s">
        <v>3</v>
      </c>
      <c r="K6" s="41">
        <v>500</v>
      </c>
      <c r="L6" s="42">
        <f t="shared" si="2"/>
        <v>9.2592592592592587E-2</v>
      </c>
      <c r="M6" s="43">
        <f t="shared" si="0"/>
        <v>4.583333333333333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</row>
    <row r="7" spans="1:77" ht="15" thickBot="1" x14ac:dyDescent="0.35">
      <c r="A7" s="26"/>
      <c r="B7" s="26"/>
      <c r="C7" s="26"/>
      <c r="D7" s="26"/>
      <c r="E7" s="26"/>
      <c r="F7" s="7" t="s">
        <v>29</v>
      </c>
      <c r="G7" s="15">
        <f t="shared" si="1"/>
        <v>49.5</v>
      </c>
      <c r="H7" s="19">
        <v>0.09</v>
      </c>
      <c r="I7" s="26"/>
      <c r="J7" s="44" t="s">
        <v>4</v>
      </c>
      <c r="K7" s="45">
        <v>500</v>
      </c>
      <c r="L7" s="46">
        <f t="shared" si="2"/>
        <v>9.2592592592592587E-2</v>
      </c>
      <c r="M7" s="47">
        <f t="shared" si="0"/>
        <v>4.583333333333333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</row>
    <row r="8" spans="1:77" x14ac:dyDescent="0.3">
      <c r="A8" s="26"/>
      <c r="B8" s="6" t="s">
        <v>31</v>
      </c>
      <c r="C8" s="29"/>
      <c r="D8" s="30"/>
      <c r="E8" s="26"/>
      <c r="F8" s="7" t="s">
        <v>30</v>
      </c>
      <c r="G8" s="15">
        <f t="shared" si="1"/>
        <v>5.5</v>
      </c>
      <c r="H8" s="18">
        <v>0.01</v>
      </c>
      <c r="I8" s="26"/>
      <c r="J8" s="48" t="s">
        <v>5</v>
      </c>
      <c r="K8" s="49">
        <v>300</v>
      </c>
      <c r="L8" s="50">
        <f t="shared" si="2"/>
        <v>5.5555555555555552E-2</v>
      </c>
      <c r="M8" s="51">
        <f t="shared" si="0"/>
        <v>2.75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</row>
    <row r="9" spans="1:77" ht="15" thickBot="1" x14ac:dyDescent="0.35">
      <c r="A9" s="26"/>
      <c r="B9" s="7" t="s">
        <v>33</v>
      </c>
      <c r="C9" s="31"/>
      <c r="D9" s="32"/>
      <c r="E9" s="26"/>
      <c r="F9" s="7" t="s">
        <v>32</v>
      </c>
      <c r="G9" s="15">
        <f t="shared" si="1"/>
        <v>8.25</v>
      </c>
      <c r="H9" s="19">
        <v>1.4999999999999999E-2</v>
      </c>
      <c r="I9" s="26"/>
      <c r="J9" s="52" t="s">
        <v>6</v>
      </c>
      <c r="K9" s="53">
        <v>200</v>
      </c>
      <c r="L9" s="54">
        <f>K9/SUM($K$4:$K$9)</f>
        <v>3.7037037037037035E-2</v>
      </c>
      <c r="M9" s="55">
        <f t="shared" si="0"/>
        <v>1.8333333333333333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</row>
    <row r="10" spans="1:77" ht="15" thickBot="1" x14ac:dyDescent="0.35">
      <c r="A10" s="26"/>
      <c r="B10" s="7" t="s">
        <v>35</v>
      </c>
      <c r="C10" s="31"/>
      <c r="D10" s="32"/>
      <c r="E10" s="26"/>
      <c r="F10" s="7" t="s">
        <v>34</v>
      </c>
      <c r="G10" s="15">
        <f t="shared" si="1"/>
        <v>55</v>
      </c>
      <c r="H10" s="18">
        <v>0.1</v>
      </c>
      <c r="I10" s="26"/>
      <c r="J10" s="88" t="s">
        <v>43</v>
      </c>
      <c r="K10" s="89"/>
      <c r="L10" s="56">
        <f>SUM(L4:L9)</f>
        <v>1</v>
      </c>
      <c r="M10" s="57">
        <f>L10*$G$7</f>
        <v>49.5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</row>
    <row r="11" spans="1:77" ht="15" thickBot="1" x14ac:dyDescent="0.35">
      <c r="A11" s="26"/>
      <c r="B11" s="7" t="s">
        <v>37</v>
      </c>
      <c r="C11" s="31"/>
      <c r="D11" s="32"/>
      <c r="E11" s="26"/>
      <c r="F11" s="9" t="s">
        <v>36</v>
      </c>
      <c r="G11" s="16">
        <f>$C$5+$C$5*0.23</f>
        <v>676.5</v>
      </c>
      <c r="H11" s="58">
        <v>0.23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</row>
    <row r="12" spans="1:77" ht="15" thickBot="1" x14ac:dyDescent="0.35">
      <c r="A12" s="26"/>
      <c r="B12" s="8" t="s">
        <v>38</v>
      </c>
      <c r="C12" s="33"/>
      <c r="D12" s="34"/>
      <c r="E12" s="26"/>
      <c r="F12" s="86" t="s">
        <v>41</v>
      </c>
      <c r="G12" s="87"/>
      <c r="H12" s="59">
        <f>SUM(H5,H6,H7,H8,H9,H10)</f>
        <v>0.995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</row>
    <row r="13" spans="1:77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60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</row>
    <row r="16" spans="1:77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</row>
    <row r="17" spans="1:77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</row>
    <row r="18" spans="1:77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</row>
    <row r="19" spans="1:77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</row>
    <row r="20" spans="1:77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</row>
    <row r="21" spans="1:77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</row>
    <row r="22" spans="1:77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</row>
    <row r="23" spans="1:77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</row>
    <row r="24" spans="1:77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</row>
    <row r="25" spans="1:77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</row>
    <row r="26" spans="1:77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</row>
    <row r="27" spans="1:77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</row>
    <row r="28" spans="1:77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</row>
    <row r="29" spans="1:77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</row>
    <row r="30" spans="1:77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</row>
    <row r="31" spans="1:77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</row>
    <row r="32" spans="1:77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</row>
    <row r="33" spans="1:77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</row>
    <row r="34" spans="1:77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</row>
    <row r="35" spans="1:77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</row>
    <row r="36" spans="1:77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</row>
    <row r="37" spans="1:77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</row>
    <row r="38" spans="1:77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</row>
    <row r="39" spans="1:77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</row>
    <row r="40" spans="1:77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</row>
    <row r="41" spans="1:77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</row>
    <row r="42" spans="1:77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</row>
    <row r="43" spans="1:77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</row>
    <row r="44" spans="1:77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</row>
    <row r="45" spans="1:77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</row>
    <row r="46" spans="1:77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</row>
    <row r="47" spans="1:77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</row>
    <row r="48" spans="1:77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</row>
    <row r="49" spans="1:77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</row>
    <row r="50" spans="1:77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</row>
    <row r="51" spans="1:77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</row>
    <row r="52" spans="1:77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</row>
    <row r="53" spans="1:77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</row>
    <row r="54" spans="1:77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</row>
    <row r="55" spans="1:77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</row>
    <row r="56" spans="1:77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</row>
    <row r="57" spans="1:7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</row>
    <row r="58" spans="1:7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</row>
    <row r="59" spans="1:77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</row>
    <row r="60" spans="1:77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</row>
    <row r="61" spans="1:77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</row>
    <row r="62" spans="1:77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</row>
    <row r="63" spans="1:77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</row>
    <row r="64" spans="1:77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</row>
    <row r="65" spans="1:77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</row>
    <row r="66" spans="1:77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</row>
    <row r="67" spans="1:77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</row>
    <row r="68" spans="1:77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</row>
    <row r="69" spans="1:77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</row>
    <row r="70" spans="1:77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</row>
    <row r="71" spans="1:77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</row>
    <row r="72" spans="1:77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</row>
    <row r="73" spans="1:77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</row>
    <row r="74" spans="1:77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</row>
    <row r="75" spans="1:77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</row>
    <row r="76" spans="1:77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</row>
    <row r="77" spans="1:77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</row>
    <row r="78" spans="1:77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</row>
    <row r="79" spans="1:77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</row>
    <row r="80" spans="1:77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</row>
    <row r="81" spans="1:77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</row>
    <row r="82" spans="1:77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</row>
    <row r="83" spans="1:77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</row>
    <row r="84" spans="1:77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</row>
    <row r="85" spans="1:77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</row>
    <row r="86" spans="1:77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</row>
    <row r="87" spans="1:77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</row>
    <row r="88" spans="1:77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</row>
    <row r="89" spans="1:77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</row>
    <row r="90" spans="1:77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</row>
    <row r="91" spans="1:77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</row>
    <row r="92" spans="1:77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</row>
    <row r="93" spans="1:77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</row>
    <row r="94" spans="1:77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</row>
    <row r="95" spans="1:77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</row>
    <row r="96" spans="1:77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</row>
    <row r="97" spans="1:77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</row>
    <row r="98" spans="1:77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</row>
    <row r="99" spans="1:77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</row>
    <row r="100" spans="1:77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</row>
    <row r="101" spans="1:77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</row>
    <row r="102" spans="1:77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</row>
    <row r="103" spans="1:77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</row>
    <row r="104" spans="1:77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</row>
    <row r="105" spans="1:77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</row>
    <row r="106" spans="1:77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</row>
    <row r="107" spans="1:77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</row>
    <row r="108" spans="1:77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</row>
    <row r="109" spans="1:77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</row>
    <row r="110" spans="1:77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</row>
    <row r="111" spans="1:77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</row>
    <row r="112" spans="1:77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</row>
    <row r="113" spans="1:77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</row>
    <row r="114" spans="1:77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</row>
    <row r="115" spans="1:77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</row>
    <row r="116" spans="1:77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</row>
    <row r="117" spans="1:77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</row>
    <row r="118" spans="1:77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</row>
    <row r="119" spans="1:77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</row>
    <row r="120" spans="1:77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</row>
    <row r="121" spans="1:77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</row>
    <row r="122" spans="1:77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</row>
    <row r="123" spans="1:77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</row>
    <row r="124" spans="1:77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</row>
    <row r="125" spans="1:77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</row>
    <row r="126" spans="1:77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</row>
    <row r="127" spans="1:77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</row>
    <row r="128" spans="1:77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</row>
    <row r="129" spans="1:77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</row>
    <row r="130" spans="1:77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</row>
    <row r="131" spans="1:77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</row>
    <row r="132" spans="1:77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</row>
    <row r="133" spans="1:77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</row>
    <row r="134" spans="1:77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</row>
    <row r="135" spans="1:77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</row>
    <row r="136" spans="1:77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</row>
    <row r="137" spans="1:77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</row>
    <row r="138" spans="1:77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</row>
    <row r="139" spans="1:77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</row>
    <row r="140" spans="1:77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</row>
    <row r="141" spans="1:77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</row>
    <row r="142" spans="1:77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</row>
    <row r="143" spans="1:77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</row>
    <row r="144" spans="1:77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</row>
    <row r="145" spans="1:77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</row>
    <row r="146" spans="1:77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</row>
    <row r="147" spans="1:77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</row>
    <row r="148" spans="1:77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</row>
    <row r="149" spans="1:77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</row>
    <row r="150" spans="1:77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</row>
    <row r="151" spans="1:77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</row>
    <row r="152" spans="1:77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</row>
    <row r="153" spans="1:77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</row>
    <row r="154" spans="1:77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</row>
    <row r="155" spans="1:77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</row>
    <row r="156" spans="1:77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</row>
    <row r="157" spans="1:77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</row>
    <row r="158" spans="1:77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</row>
    <row r="159" spans="1:77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</row>
    <row r="160" spans="1:77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</row>
    <row r="161" spans="1:77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</row>
    <row r="162" spans="1:77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</row>
    <row r="163" spans="1:77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</row>
    <row r="164" spans="1:77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</row>
    <row r="165" spans="1:77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</row>
    <row r="166" spans="1:77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</row>
    <row r="167" spans="1:77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</row>
    <row r="168" spans="1:77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</row>
    <row r="169" spans="1:77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</row>
    <row r="170" spans="1:77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</row>
    <row r="171" spans="1:77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</row>
    <row r="172" spans="1:77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</row>
    <row r="173" spans="1:77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</row>
    <row r="174" spans="1:77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</row>
    <row r="175" spans="1:77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</row>
    <row r="176" spans="1:77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</row>
    <row r="177" spans="1:77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</row>
    <row r="178" spans="1:77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</row>
    <row r="179" spans="1:77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</row>
    <row r="180" spans="1:77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</row>
    <row r="181" spans="1:77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</row>
    <row r="182" spans="1:77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</row>
    <row r="183" spans="1:77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</row>
    <row r="184" spans="1:77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</row>
    <row r="185" spans="1:77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</row>
    <row r="186" spans="1:77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</row>
    <row r="187" spans="1:77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</row>
    <row r="188" spans="1:77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</row>
    <row r="189" spans="1:77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</row>
    <row r="190" spans="1:77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</row>
    <row r="191" spans="1:77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</row>
    <row r="192" spans="1:77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</row>
    <row r="193" spans="1:77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</row>
    <row r="194" spans="1:77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</row>
    <row r="195" spans="1:77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</row>
    <row r="196" spans="1:77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</row>
    <row r="197" spans="1:77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</row>
    <row r="198" spans="1:77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</row>
    <row r="199" spans="1:77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</row>
    <row r="200" spans="1:77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</row>
    <row r="201" spans="1:77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</row>
    <row r="202" spans="1:77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</row>
    <row r="203" spans="1:77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</row>
    <row r="204" spans="1:77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</row>
    <row r="205" spans="1:77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</row>
    <row r="206" spans="1:77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</row>
    <row r="207" spans="1:77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</row>
    <row r="208" spans="1:77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</row>
    <row r="209" spans="1:77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</row>
    <row r="210" spans="1:77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</row>
    <row r="211" spans="1:77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</row>
    <row r="212" spans="1:77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</row>
    <row r="213" spans="1:77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</row>
    <row r="214" spans="1:77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</row>
    <row r="215" spans="1:77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</row>
    <row r="216" spans="1:77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</row>
    <row r="217" spans="1:77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</row>
    <row r="218" spans="1:77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</row>
    <row r="219" spans="1:77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</row>
    <row r="220" spans="1:77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</row>
    <row r="221" spans="1:77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</row>
    <row r="222" spans="1:77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</row>
    <row r="223" spans="1:77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</row>
    <row r="224" spans="1:77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</row>
    <row r="225" spans="1:77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</row>
    <row r="226" spans="1:77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</row>
    <row r="227" spans="1:77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</row>
    <row r="228" spans="1:77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</row>
    <row r="229" spans="1:77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</row>
    <row r="230" spans="1:77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</row>
    <row r="231" spans="1:77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</row>
    <row r="232" spans="1:77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</row>
    <row r="233" spans="1:77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</row>
    <row r="234" spans="1:77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</row>
    <row r="235" spans="1:77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</row>
    <row r="236" spans="1:77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</row>
    <row r="237" spans="1:77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</row>
    <row r="238" spans="1:77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</row>
    <row r="239" spans="1:77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</row>
    <row r="240" spans="1:77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</row>
    <row r="241" spans="1:77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</row>
    <row r="242" spans="1:77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</row>
    <row r="243" spans="1:77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</row>
    <row r="244" spans="1:77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</row>
    <row r="245" spans="1:77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</row>
    <row r="246" spans="1:77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</row>
    <row r="247" spans="1:77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</row>
    <row r="248" spans="1:77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</row>
    <row r="249" spans="1:77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</row>
    <row r="250" spans="1:77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</row>
    <row r="251" spans="1:77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</row>
    <row r="252" spans="1:77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</row>
    <row r="253" spans="1:77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</row>
    <row r="254" spans="1:77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</row>
    <row r="255" spans="1:77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</row>
    <row r="256" spans="1:77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</row>
    <row r="257" spans="1:77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</row>
    <row r="258" spans="1:77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</row>
    <row r="259" spans="1:77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</row>
    <row r="260" spans="1:77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</row>
    <row r="261" spans="1:77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</row>
    <row r="262" spans="1:77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</row>
    <row r="263" spans="1:77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</row>
    <row r="264" spans="1:77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</row>
    <row r="265" spans="1:77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</row>
    <row r="266" spans="1:77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</row>
    <row r="267" spans="1:77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</row>
    <row r="268" spans="1:77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</row>
    <row r="269" spans="1:77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</row>
    <row r="270" spans="1:77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</row>
    <row r="271" spans="1:77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</row>
    <row r="272" spans="1:77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</row>
    <row r="273" spans="1:77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</row>
    <row r="274" spans="1:77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</row>
    <row r="275" spans="1:77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</row>
    <row r="276" spans="1:77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</row>
    <row r="277" spans="1:77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</row>
    <row r="278" spans="1:77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</row>
    <row r="279" spans="1:77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</row>
    <row r="280" spans="1:77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</row>
    <row r="281" spans="1:77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</row>
    <row r="282" spans="1:77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</row>
    <row r="283" spans="1:77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</row>
    <row r="284" spans="1:77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</row>
    <row r="285" spans="1:77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</row>
    <row r="286" spans="1:77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</row>
    <row r="287" spans="1:77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</row>
    <row r="288" spans="1:77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</row>
    <row r="289" spans="1:77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</row>
    <row r="290" spans="1:77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</row>
    <row r="291" spans="1:77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</row>
    <row r="292" spans="1:77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</row>
    <row r="293" spans="1:77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</row>
    <row r="294" spans="1:77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</row>
    <row r="295" spans="1:77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</row>
    <row r="296" spans="1:77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</row>
    <row r="297" spans="1:77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</row>
    <row r="298" spans="1:77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</row>
    <row r="299" spans="1:77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</row>
    <row r="300" spans="1:77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</row>
    <row r="301" spans="1:77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</row>
    <row r="302" spans="1:77" x14ac:dyDescent="0.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</row>
    <row r="303" spans="1:77" x14ac:dyDescent="0.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</row>
    <row r="304" spans="1:77" x14ac:dyDescent="0.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</row>
    <row r="305" spans="1:77" x14ac:dyDescent="0.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</row>
    <row r="306" spans="1:77" x14ac:dyDescent="0.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</row>
    <row r="307" spans="1:77" x14ac:dyDescent="0.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</row>
    <row r="308" spans="1:77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</row>
    <row r="309" spans="1:77" x14ac:dyDescent="0.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</row>
    <row r="310" spans="1:77" x14ac:dyDescent="0.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</row>
    <row r="311" spans="1:77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</row>
    <row r="312" spans="1:77" x14ac:dyDescent="0.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</row>
    <row r="313" spans="1:77" x14ac:dyDescent="0.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</row>
    <row r="314" spans="1:77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</row>
    <row r="315" spans="1:77" x14ac:dyDescent="0.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</row>
    <row r="316" spans="1:77" x14ac:dyDescent="0.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</row>
    <row r="317" spans="1:77" x14ac:dyDescent="0.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</row>
    <row r="318" spans="1:77" x14ac:dyDescent="0.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</row>
    <row r="319" spans="1:77" x14ac:dyDescent="0.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</row>
    <row r="320" spans="1:77" x14ac:dyDescent="0.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</row>
    <row r="321" spans="1:77" x14ac:dyDescent="0.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</row>
    <row r="322" spans="1:77" x14ac:dyDescent="0.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</row>
    <row r="323" spans="1:77" x14ac:dyDescent="0.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</row>
    <row r="324" spans="1:77" x14ac:dyDescent="0.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</row>
    <row r="325" spans="1:77" x14ac:dyDescent="0.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</row>
    <row r="326" spans="1:77" x14ac:dyDescent="0.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</row>
    <row r="327" spans="1:77" x14ac:dyDescent="0.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</row>
    <row r="328" spans="1:77" x14ac:dyDescent="0.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</row>
    <row r="329" spans="1:77" x14ac:dyDescent="0.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</row>
    <row r="330" spans="1:77" x14ac:dyDescent="0.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</row>
    <row r="331" spans="1:77" x14ac:dyDescent="0.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</row>
    <row r="332" spans="1:77" x14ac:dyDescent="0.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</row>
    <row r="333" spans="1:77" x14ac:dyDescent="0.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</row>
    <row r="334" spans="1:77" x14ac:dyDescent="0.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</row>
    <row r="335" spans="1:77" x14ac:dyDescent="0.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</row>
    <row r="336" spans="1:77" x14ac:dyDescent="0.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</row>
    <row r="337" spans="1:77" x14ac:dyDescent="0.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</row>
    <row r="338" spans="1:77" x14ac:dyDescent="0.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</row>
    <row r="339" spans="1:77" x14ac:dyDescent="0.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</row>
    <row r="340" spans="1:77" x14ac:dyDescent="0.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</row>
    <row r="341" spans="1:77" x14ac:dyDescent="0.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</row>
    <row r="342" spans="1:77" x14ac:dyDescent="0.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</row>
    <row r="343" spans="1:77" x14ac:dyDescent="0.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</row>
    <row r="344" spans="1:77" x14ac:dyDescent="0.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</row>
    <row r="345" spans="1:77" x14ac:dyDescent="0.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</row>
    <row r="346" spans="1:77" x14ac:dyDescent="0.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</row>
    <row r="347" spans="1:77" x14ac:dyDescent="0.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</row>
    <row r="348" spans="1:77" x14ac:dyDescent="0.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</row>
    <row r="349" spans="1:77" x14ac:dyDescent="0.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</row>
    <row r="350" spans="1:77" x14ac:dyDescent="0.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</row>
    <row r="351" spans="1:77" x14ac:dyDescent="0.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</row>
    <row r="352" spans="1:77" x14ac:dyDescent="0.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</row>
    <row r="353" spans="1:77" x14ac:dyDescent="0.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</row>
    <row r="354" spans="1:77" x14ac:dyDescent="0.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</row>
    <row r="355" spans="1:77" x14ac:dyDescent="0.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</row>
    <row r="356" spans="1:77" x14ac:dyDescent="0.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</row>
    <row r="357" spans="1:77" x14ac:dyDescent="0.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</row>
    <row r="358" spans="1:77" x14ac:dyDescent="0.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</row>
    <row r="359" spans="1:77" x14ac:dyDescent="0.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</row>
    <row r="360" spans="1:77" x14ac:dyDescent="0.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</row>
    <row r="361" spans="1:77" x14ac:dyDescent="0.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</row>
    <row r="362" spans="1:77" x14ac:dyDescent="0.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</row>
    <row r="363" spans="1:77" x14ac:dyDescent="0.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</row>
    <row r="364" spans="1:77" x14ac:dyDescent="0.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</row>
    <row r="365" spans="1:77" x14ac:dyDescent="0.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</row>
    <row r="366" spans="1:77" x14ac:dyDescent="0.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</row>
    <row r="367" spans="1:77" x14ac:dyDescent="0.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</row>
    <row r="368" spans="1:77" x14ac:dyDescent="0.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</row>
    <row r="369" spans="1:77" x14ac:dyDescent="0.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</row>
    <row r="370" spans="1:77" x14ac:dyDescent="0.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</row>
    <row r="371" spans="1:77" x14ac:dyDescent="0.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</row>
    <row r="372" spans="1:77" x14ac:dyDescent="0.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</row>
    <row r="373" spans="1:77" x14ac:dyDescent="0.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</row>
    <row r="374" spans="1:77" x14ac:dyDescent="0.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</row>
    <row r="375" spans="1:77" x14ac:dyDescent="0.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</row>
    <row r="376" spans="1:77" x14ac:dyDescent="0.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</row>
    <row r="377" spans="1:77" x14ac:dyDescent="0.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</row>
    <row r="378" spans="1:77" x14ac:dyDescent="0.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</row>
    <row r="379" spans="1:77" x14ac:dyDescent="0.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</row>
    <row r="380" spans="1:77" x14ac:dyDescent="0.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</row>
    <row r="381" spans="1:77" x14ac:dyDescent="0.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</row>
    <row r="382" spans="1:77" x14ac:dyDescent="0.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</row>
    <row r="383" spans="1:77" x14ac:dyDescent="0.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</row>
    <row r="384" spans="1:77" x14ac:dyDescent="0.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</row>
    <row r="385" spans="1:77" x14ac:dyDescent="0.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</row>
    <row r="386" spans="1:77" x14ac:dyDescent="0.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</row>
    <row r="387" spans="1:77" x14ac:dyDescent="0.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</row>
    <row r="388" spans="1:77" x14ac:dyDescent="0.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</row>
    <row r="389" spans="1:77" x14ac:dyDescent="0.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</row>
    <row r="390" spans="1:77" x14ac:dyDescent="0.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</row>
    <row r="391" spans="1:77" x14ac:dyDescent="0.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</row>
    <row r="392" spans="1:77" x14ac:dyDescent="0.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</row>
    <row r="393" spans="1:77" x14ac:dyDescent="0.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</row>
    <row r="394" spans="1:77" x14ac:dyDescent="0.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</row>
    <row r="395" spans="1:77" x14ac:dyDescent="0.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</row>
    <row r="396" spans="1:77" x14ac:dyDescent="0.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</row>
    <row r="397" spans="1:77" x14ac:dyDescent="0.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</row>
    <row r="398" spans="1:77" x14ac:dyDescent="0.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</row>
    <row r="399" spans="1:77" x14ac:dyDescent="0.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</row>
    <row r="400" spans="1:77" x14ac:dyDescent="0.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</row>
    <row r="401" spans="1:77" x14ac:dyDescent="0.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</row>
    <row r="402" spans="1:77" x14ac:dyDescent="0.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</row>
    <row r="403" spans="1:77" x14ac:dyDescent="0.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</row>
    <row r="404" spans="1:77" x14ac:dyDescent="0.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</row>
    <row r="405" spans="1:77" x14ac:dyDescent="0.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</row>
    <row r="406" spans="1:77" x14ac:dyDescent="0.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</row>
    <row r="407" spans="1:77" x14ac:dyDescent="0.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</row>
    <row r="408" spans="1:77" x14ac:dyDescent="0.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</row>
    <row r="409" spans="1:77" x14ac:dyDescent="0.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</row>
    <row r="410" spans="1:77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</row>
    <row r="411" spans="1:77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</row>
    <row r="412" spans="1:77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</row>
    <row r="413" spans="1:77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</row>
    <row r="414" spans="1:77" x14ac:dyDescent="0.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</row>
    <row r="415" spans="1:77" x14ac:dyDescent="0.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</row>
    <row r="416" spans="1:77" x14ac:dyDescent="0.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</row>
    <row r="417" spans="1:77" x14ac:dyDescent="0.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</row>
    <row r="418" spans="1:77" x14ac:dyDescent="0.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</row>
    <row r="419" spans="1:77" x14ac:dyDescent="0.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</row>
    <row r="420" spans="1:77" x14ac:dyDescent="0.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</row>
    <row r="421" spans="1:77" x14ac:dyDescent="0.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</row>
    <row r="422" spans="1:77" x14ac:dyDescent="0.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</row>
    <row r="423" spans="1:77" x14ac:dyDescent="0.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</row>
    <row r="424" spans="1:77" x14ac:dyDescent="0.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</row>
    <row r="425" spans="1:77" x14ac:dyDescent="0.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</row>
    <row r="426" spans="1:77" x14ac:dyDescent="0.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</row>
    <row r="427" spans="1:77" x14ac:dyDescent="0.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</row>
    <row r="428" spans="1:77" x14ac:dyDescent="0.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</row>
    <row r="429" spans="1:77" x14ac:dyDescent="0.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</row>
    <row r="430" spans="1:77" x14ac:dyDescent="0.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</row>
    <row r="431" spans="1:77" x14ac:dyDescent="0.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</row>
    <row r="432" spans="1:77" x14ac:dyDescent="0.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</row>
    <row r="433" spans="1:77" x14ac:dyDescent="0.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</row>
    <row r="434" spans="1:77" x14ac:dyDescent="0.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</row>
    <row r="435" spans="1:77" x14ac:dyDescent="0.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</row>
    <row r="436" spans="1:77" x14ac:dyDescent="0.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</row>
    <row r="437" spans="1:77" x14ac:dyDescent="0.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</row>
    <row r="438" spans="1:77" x14ac:dyDescent="0.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</row>
    <row r="439" spans="1:77" x14ac:dyDescent="0.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</row>
    <row r="440" spans="1:77" x14ac:dyDescent="0.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</row>
    <row r="441" spans="1:77" x14ac:dyDescent="0.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</row>
    <row r="442" spans="1:77" x14ac:dyDescent="0.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</row>
    <row r="443" spans="1:77" x14ac:dyDescent="0.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</row>
    <row r="444" spans="1:77" x14ac:dyDescent="0.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</row>
    <row r="445" spans="1:77" x14ac:dyDescent="0.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</row>
    <row r="446" spans="1:77" x14ac:dyDescent="0.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</row>
    <row r="447" spans="1:77" x14ac:dyDescent="0.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</row>
    <row r="448" spans="1:77" x14ac:dyDescent="0.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</row>
    <row r="449" spans="1:77" x14ac:dyDescent="0.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</row>
    <row r="450" spans="1:77" x14ac:dyDescent="0.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</row>
    <row r="451" spans="1:77" x14ac:dyDescent="0.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</row>
    <row r="452" spans="1:77" x14ac:dyDescent="0.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</row>
    <row r="453" spans="1:77" x14ac:dyDescent="0.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</row>
    <row r="454" spans="1:77" x14ac:dyDescent="0.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</row>
    <row r="455" spans="1:77" x14ac:dyDescent="0.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</row>
    <row r="456" spans="1:77" x14ac:dyDescent="0.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</row>
    <row r="457" spans="1:77" x14ac:dyDescent="0.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</row>
    <row r="458" spans="1:77" x14ac:dyDescent="0.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</row>
    <row r="459" spans="1:77" x14ac:dyDescent="0.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</row>
    <row r="460" spans="1:77" x14ac:dyDescent="0.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</row>
    <row r="461" spans="1:77" x14ac:dyDescent="0.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</row>
    <row r="462" spans="1:77" x14ac:dyDescent="0.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</row>
    <row r="463" spans="1:77" x14ac:dyDescent="0.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</row>
    <row r="464" spans="1:77" x14ac:dyDescent="0.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</row>
    <row r="465" spans="1:77" x14ac:dyDescent="0.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</row>
    <row r="466" spans="1:77" x14ac:dyDescent="0.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</row>
    <row r="467" spans="1:77" x14ac:dyDescent="0.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</row>
    <row r="468" spans="1:77" x14ac:dyDescent="0.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</row>
    <row r="469" spans="1:77" x14ac:dyDescent="0.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</row>
    <row r="470" spans="1:77" x14ac:dyDescent="0.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</row>
    <row r="471" spans="1:77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</row>
    <row r="472" spans="1:77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</row>
    <row r="473" spans="1:77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</row>
    <row r="474" spans="1:77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</row>
    <row r="475" spans="1:77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</row>
    <row r="476" spans="1:77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</row>
    <row r="477" spans="1:77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</row>
    <row r="478" spans="1:77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</row>
    <row r="479" spans="1:77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</row>
    <row r="480" spans="1:77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</row>
    <row r="481" spans="1:77" x14ac:dyDescent="0.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</row>
    <row r="482" spans="1:77" x14ac:dyDescent="0.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</row>
    <row r="483" spans="1:77" x14ac:dyDescent="0.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</row>
    <row r="484" spans="1:77" x14ac:dyDescent="0.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</row>
    <row r="485" spans="1:77" x14ac:dyDescent="0.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</row>
    <row r="486" spans="1:77" x14ac:dyDescent="0.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</row>
    <row r="487" spans="1:77" x14ac:dyDescent="0.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</row>
    <row r="488" spans="1:77" x14ac:dyDescent="0.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</row>
    <row r="489" spans="1:77" x14ac:dyDescent="0.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</row>
    <row r="490" spans="1:77" x14ac:dyDescent="0.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</row>
    <row r="491" spans="1:77" x14ac:dyDescent="0.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</row>
    <row r="492" spans="1:77" x14ac:dyDescent="0.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</row>
    <row r="493" spans="1:77" x14ac:dyDescent="0.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</row>
    <row r="494" spans="1:77" x14ac:dyDescent="0.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</row>
    <row r="495" spans="1:77" x14ac:dyDescent="0.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</row>
    <row r="496" spans="1:77" x14ac:dyDescent="0.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</row>
    <row r="497" spans="1:77" x14ac:dyDescent="0.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</row>
    <row r="498" spans="1:77" x14ac:dyDescent="0.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</row>
    <row r="499" spans="1:77" x14ac:dyDescent="0.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</row>
    <row r="500" spans="1:77" x14ac:dyDescent="0.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</row>
    <row r="501" spans="1:77" x14ac:dyDescent="0.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</row>
    <row r="502" spans="1:77" x14ac:dyDescent="0.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</row>
    <row r="503" spans="1:77" x14ac:dyDescent="0.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</row>
    <row r="504" spans="1:77" x14ac:dyDescent="0.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</row>
    <row r="505" spans="1:77" x14ac:dyDescent="0.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</row>
    <row r="506" spans="1:77" x14ac:dyDescent="0.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</row>
    <row r="507" spans="1:77" x14ac:dyDescent="0.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</row>
    <row r="508" spans="1:77" x14ac:dyDescent="0.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</row>
    <row r="509" spans="1:77" x14ac:dyDescent="0.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</row>
    <row r="510" spans="1:77" x14ac:dyDescent="0.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</row>
    <row r="511" spans="1:77" x14ac:dyDescent="0.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</row>
    <row r="512" spans="1:77" x14ac:dyDescent="0.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</row>
    <row r="513" spans="1:77" x14ac:dyDescent="0.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</row>
    <row r="514" spans="1:77" x14ac:dyDescent="0.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</row>
    <row r="515" spans="1:77" x14ac:dyDescent="0.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</row>
    <row r="516" spans="1:77" x14ac:dyDescent="0.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</row>
    <row r="517" spans="1:77" x14ac:dyDescent="0.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</row>
    <row r="518" spans="1:77" x14ac:dyDescent="0.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</row>
    <row r="519" spans="1:77" x14ac:dyDescent="0.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</row>
    <row r="520" spans="1:77" x14ac:dyDescent="0.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</row>
    <row r="521" spans="1:77" x14ac:dyDescent="0.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</row>
    <row r="522" spans="1:77" x14ac:dyDescent="0.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</row>
    <row r="523" spans="1:77" x14ac:dyDescent="0.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</row>
    <row r="524" spans="1:77" x14ac:dyDescent="0.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</row>
    <row r="525" spans="1:77" x14ac:dyDescent="0.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</row>
    <row r="526" spans="1:77" x14ac:dyDescent="0.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</row>
    <row r="527" spans="1:77" x14ac:dyDescent="0.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</row>
    <row r="528" spans="1:77" x14ac:dyDescent="0.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</row>
    <row r="529" spans="1:77" x14ac:dyDescent="0.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</row>
    <row r="530" spans="1:77" x14ac:dyDescent="0.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</row>
    <row r="531" spans="1:77" x14ac:dyDescent="0.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</row>
    <row r="532" spans="1:77" x14ac:dyDescent="0.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</row>
    <row r="533" spans="1:77" x14ac:dyDescent="0.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</row>
    <row r="534" spans="1:77" x14ac:dyDescent="0.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</row>
    <row r="535" spans="1:77" x14ac:dyDescent="0.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</row>
    <row r="536" spans="1:77" x14ac:dyDescent="0.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</row>
    <row r="537" spans="1:77" x14ac:dyDescent="0.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</row>
    <row r="538" spans="1:77" x14ac:dyDescent="0.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</row>
    <row r="539" spans="1:77" x14ac:dyDescent="0.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</row>
    <row r="540" spans="1:77" x14ac:dyDescent="0.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</row>
    <row r="541" spans="1:77" x14ac:dyDescent="0.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</row>
    <row r="542" spans="1:77" x14ac:dyDescent="0.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</row>
    <row r="543" spans="1:77" x14ac:dyDescent="0.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</row>
    <row r="544" spans="1:77" x14ac:dyDescent="0.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</row>
    <row r="545" spans="1:77" x14ac:dyDescent="0.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</row>
    <row r="546" spans="1:77" x14ac:dyDescent="0.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</row>
    <row r="547" spans="1:77" x14ac:dyDescent="0.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</row>
    <row r="548" spans="1:77" x14ac:dyDescent="0.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</row>
    <row r="549" spans="1:77" x14ac:dyDescent="0.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</row>
    <row r="550" spans="1:77" x14ac:dyDescent="0.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</row>
    <row r="551" spans="1:77" x14ac:dyDescent="0.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</row>
    <row r="552" spans="1:77" x14ac:dyDescent="0.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</row>
    <row r="553" spans="1:77" x14ac:dyDescent="0.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</row>
    <row r="554" spans="1:77" x14ac:dyDescent="0.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</row>
    <row r="555" spans="1:77" x14ac:dyDescent="0.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</row>
    <row r="556" spans="1:77" x14ac:dyDescent="0.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</row>
    <row r="557" spans="1:77" x14ac:dyDescent="0.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</row>
    <row r="558" spans="1:77" x14ac:dyDescent="0.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</row>
    <row r="559" spans="1:77" x14ac:dyDescent="0.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</row>
    <row r="560" spans="1:77" x14ac:dyDescent="0.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</row>
    <row r="561" spans="1:77" x14ac:dyDescent="0.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</row>
    <row r="562" spans="1:77" x14ac:dyDescent="0.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</row>
    <row r="563" spans="1:77" x14ac:dyDescent="0.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</row>
    <row r="564" spans="1:77" x14ac:dyDescent="0.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</row>
    <row r="565" spans="1:77" x14ac:dyDescent="0.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</row>
    <row r="566" spans="1:77" x14ac:dyDescent="0.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</row>
    <row r="567" spans="1:77" x14ac:dyDescent="0.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</row>
    <row r="568" spans="1:77" x14ac:dyDescent="0.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</row>
    <row r="569" spans="1:77" x14ac:dyDescent="0.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</row>
    <row r="570" spans="1:77" x14ac:dyDescent="0.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</row>
    <row r="571" spans="1:77" x14ac:dyDescent="0.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</row>
    <row r="572" spans="1:77" x14ac:dyDescent="0.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</row>
    <row r="573" spans="1:77" x14ac:dyDescent="0.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</row>
    <row r="574" spans="1:77" x14ac:dyDescent="0.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</row>
    <row r="575" spans="1:77" x14ac:dyDescent="0.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</row>
    <row r="576" spans="1:77" x14ac:dyDescent="0.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</row>
    <row r="577" spans="1:77" x14ac:dyDescent="0.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</row>
    <row r="578" spans="1:77" x14ac:dyDescent="0.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</row>
    <row r="579" spans="1:77" x14ac:dyDescent="0.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</row>
    <row r="580" spans="1:77" x14ac:dyDescent="0.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</row>
    <row r="581" spans="1:77" x14ac:dyDescent="0.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</row>
    <row r="582" spans="1:77" x14ac:dyDescent="0.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</row>
    <row r="583" spans="1:77" x14ac:dyDescent="0.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</row>
    <row r="584" spans="1:77" x14ac:dyDescent="0.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</row>
    <row r="585" spans="1:77" x14ac:dyDescent="0.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</row>
    <row r="586" spans="1:77" x14ac:dyDescent="0.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</row>
    <row r="587" spans="1:77" x14ac:dyDescent="0.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</row>
    <row r="588" spans="1:77" x14ac:dyDescent="0.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</row>
    <row r="589" spans="1:77" x14ac:dyDescent="0.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</row>
    <row r="590" spans="1:77" x14ac:dyDescent="0.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</row>
    <row r="591" spans="1:77" x14ac:dyDescent="0.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</row>
    <row r="592" spans="1:77" x14ac:dyDescent="0.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</row>
    <row r="593" spans="1:77" x14ac:dyDescent="0.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</row>
    <row r="594" spans="1:77" x14ac:dyDescent="0.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</row>
    <row r="595" spans="1:77" x14ac:dyDescent="0.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</row>
    <row r="596" spans="1:77" x14ac:dyDescent="0.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</row>
    <row r="597" spans="1:77" x14ac:dyDescent="0.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</row>
    <row r="598" spans="1:77" x14ac:dyDescent="0.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</row>
    <row r="599" spans="1:77" x14ac:dyDescent="0.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</row>
    <row r="600" spans="1:77" x14ac:dyDescent="0.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</row>
    <row r="601" spans="1:77" x14ac:dyDescent="0.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</row>
    <row r="602" spans="1:77" x14ac:dyDescent="0.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</row>
    <row r="603" spans="1:77" x14ac:dyDescent="0.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</row>
    <row r="604" spans="1:77" x14ac:dyDescent="0.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</row>
    <row r="605" spans="1:77" x14ac:dyDescent="0.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</row>
    <row r="606" spans="1:77" x14ac:dyDescent="0.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</row>
    <row r="607" spans="1:77" x14ac:dyDescent="0.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</row>
    <row r="608" spans="1:77" x14ac:dyDescent="0.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</row>
    <row r="609" spans="1:77" x14ac:dyDescent="0.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</row>
    <row r="610" spans="1:77" x14ac:dyDescent="0.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</row>
    <row r="611" spans="1:77" x14ac:dyDescent="0.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</row>
    <row r="612" spans="1:77" x14ac:dyDescent="0.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</row>
    <row r="613" spans="1:77" x14ac:dyDescent="0.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</row>
    <row r="614" spans="1:77" x14ac:dyDescent="0.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</row>
    <row r="615" spans="1:77" x14ac:dyDescent="0.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</row>
    <row r="616" spans="1:77" x14ac:dyDescent="0.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</row>
    <row r="617" spans="1:77" x14ac:dyDescent="0.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</row>
    <row r="618" spans="1:77" x14ac:dyDescent="0.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</row>
    <row r="619" spans="1:77" x14ac:dyDescent="0.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</row>
    <row r="620" spans="1:77" x14ac:dyDescent="0.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</row>
    <row r="621" spans="1:77" x14ac:dyDescent="0.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</row>
    <row r="622" spans="1:77" x14ac:dyDescent="0.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</row>
    <row r="623" spans="1:77" x14ac:dyDescent="0.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</row>
    <row r="624" spans="1:77" x14ac:dyDescent="0.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</row>
    <row r="625" spans="1:77" x14ac:dyDescent="0.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</row>
    <row r="626" spans="1:77" x14ac:dyDescent="0.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</row>
    <row r="627" spans="1:77" x14ac:dyDescent="0.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</row>
    <row r="628" spans="1:77" x14ac:dyDescent="0.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</row>
    <row r="629" spans="1:77" x14ac:dyDescent="0.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</row>
    <row r="630" spans="1:77" x14ac:dyDescent="0.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</row>
    <row r="631" spans="1:77" x14ac:dyDescent="0.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</row>
    <row r="632" spans="1:77" x14ac:dyDescent="0.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</row>
    <row r="633" spans="1:77" x14ac:dyDescent="0.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</row>
    <row r="634" spans="1:77" x14ac:dyDescent="0.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</row>
    <row r="635" spans="1:77" x14ac:dyDescent="0.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</row>
    <row r="636" spans="1:77" x14ac:dyDescent="0.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</row>
    <row r="637" spans="1:77" x14ac:dyDescent="0.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</row>
    <row r="638" spans="1:77" x14ac:dyDescent="0.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</row>
    <row r="639" spans="1:77" x14ac:dyDescent="0.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</row>
    <row r="640" spans="1:77" x14ac:dyDescent="0.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</row>
    <row r="641" spans="1:77" x14ac:dyDescent="0.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</row>
    <row r="642" spans="1:77" x14ac:dyDescent="0.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</row>
    <row r="643" spans="1:77" x14ac:dyDescent="0.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</row>
    <row r="644" spans="1:77" x14ac:dyDescent="0.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</row>
    <row r="645" spans="1:77" x14ac:dyDescent="0.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</row>
    <row r="646" spans="1:77" x14ac:dyDescent="0.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</row>
    <row r="647" spans="1:77" x14ac:dyDescent="0.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</row>
    <row r="648" spans="1:77" x14ac:dyDescent="0.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</row>
    <row r="649" spans="1:77" x14ac:dyDescent="0.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</row>
    <row r="650" spans="1:77" x14ac:dyDescent="0.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</row>
    <row r="651" spans="1:77" x14ac:dyDescent="0.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</row>
    <row r="652" spans="1:77" x14ac:dyDescent="0.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</row>
    <row r="653" spans="1:77" x14ac:dyDescent="0.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</row>
    <row r="654" spans="1:77" x14ac:dyDescent="0.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</row>
    <row r="655" spans="1:77" x14ac:dyDescent="0.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</row>
    <row r="656" spans="1:77" x14ac:dyDescent="0.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</row>
    <row r="657" spans="1:77" x14ac:dyDescent="0.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</row>
    <row r="658" spans="1:77" x14ac:dyDescent="0.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</row>
    <row r="659" spans="1:77" x14ac:dyDescent="0.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</row>
    <row r="660" spans="1:77" x14ac:dyDescent="0.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</row>
    <row r="661" spans="1:77" x14ac:dyDescent="0.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</row>
    <row r="662" spans="1:77" x14ac:dyDescent="0.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</row>
    <row r="663" spans="1:77" x14ac:dyDescent="0.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</row>
    <row r="664" spans="1:77" x14ac:dyDescent="0.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</row>
    <row r="665" spans="1:77" x14ac:dyDescent="0.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</row>
    <row r="666" spans="1:77" x14ac:dyDescent="0.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</row>
    <row r="667" spans="1:77" x14ac:dyDescent="0.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</row>
    <row r="668" spans="1:77" x14ac:dyDescent="0.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</row>
    <row r="669" spans="1:77" x14ac:dyDescent="0.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</row>
    <row r="670" spans="1:77" x14ac:dyDescent="0.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</row>
    <row r="671" spans="1:77" x14ac:dyDescent="0.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</row>
    <row r="672" spans="1:77" x14ac:dyDescent="0.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</row>
    <row r="673" spans="1:77" x14ac:dyDescent="0.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</row>
    <row r="674" spans="1:77" x14ac:dyDescent="0.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</row>
    <row r="675" spans="1:77" x14ac:dyDescent="0.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</row>
    <row r="676" spans="1:77" x14ac:dyDescent="0.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</row>
    <row r="677" spans="1:77" x14ac:dyDescent="0.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</row>
    <row r="678" spans="1:77" x14ac:dyDescent="0.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</row>
    <row r="679" spans="1:77" x14ac:dyDescent="0.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</row>
    <row r="680" spans="1:77" x14ac:dyDescent="0.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</row>
    <row r="681" spans="1:77" x14ac:dyDescent="0.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</row>
    <row r="682" spans="1:77" x14ac:dyDescent="0.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</row>
    <row r="683" spans="1:77" x14ac:dyDescent="0.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</row>
    <row r="684" spans="1:77" x14ac:dyDescent="0.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</row>
    <row r="685" spans="1:77" x14ac:dyDescent="0.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</row>
    <row r="686" spans="1:77" x14ac:dyDescent="0.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</row>
    <row r="687" spans="1:77" x14ac:dyDescent="0.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</row>
    <row r="688" spans="1:77" x14ac:dyDescent="0.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</row>
    <row r="689" spans="1:77" x14ac:dyDescent="0.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</row>
    <row r="690" spans="1:77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</row>
    <row r="691" spans="1:77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</row>
    <row r="692" spans="1:77" x14ac:dyDescent="0.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</row>
    <row r="693" spans="1:77" x14ac:dyDescent="0.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</row>
    <row r="694" spans="1:77" x14ac:dyDescent="0.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</row>
    <row r="695" spans="1:77" x14ac:dyDescent="0.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</row>
    <row r="696" spans="1:77" x14ac:dyDescent="0.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</row>
    <row r="697" spans="1:77" x14ac:dyDescent="0.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</row>
    <row r="698" spans="1:77" x14ac:dyDescent="0.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</row>
    <row r="699" spans="1:77" x14ac:dyDescent="0.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</row>
  </sheetData>
  <mergeCells count="3">
    <mergeCell ref="B2:C2"/>
    <mergeCell ref="F12:G12"/>
    <mergeCell ref="J10:K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Gastos 1º ano</vt:lpstr>
      <vt:lpstr>Disponibilidade  e 1ºENTRADA</vt:lpstr>
      <vt:lpstr>Divisão de Quotas</vt:lpstr>
      <vt:lpstr>Lucros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 Set</dc:creator>
  <cp:keywords/>
  <dc:description/>
  <cp:lastModifiedBy>Mind Set</cp:lastModifiedBy>
  <cp:revision/>
  <dcterms:created xsi:type="dcterms:W3CDTF">2026-01-14T17:26:34Z</dcterms:created>
  <dcterms:modified xsi:type="dcterms:W3CDTF">2026-02-02T03:14:59Z</dcterms:modified>
  <cp:category/>
  <cp:contentStatus/>
</cp:coreProperties>
</file>