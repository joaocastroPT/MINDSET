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str\MINDSET\DRIVE\Orgãos funcionais\Eventos\"/>
    </mc:Choice>
  </mc:AlternateContent>
  <xr:revisionPtr revIDLastSave="0" documentId="13_ncr:1_{8F0DA87A-426F-4A40-932B-3E80ADD2909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lendário" sheetId="1" r:id="rId1"/>
    <sheet name="Eventos" sheetId="2" r:id="rId2"/>
    <sheet name="Feriados" sheetId="3" r:id="rId3"/>
    <sheet name="Instruções" sheetId="4" r:id="rId4"/>
  </sheets>
  <definedNames>
    <definedName name="_xlnm._FilterDatabase" localSheetId="1" hidden="1">Eventos!$A$1:$L$299</definedName>
    <definedName name="AnoCalendario">Calendário!$W$2</definedName>
    <definedName name="_xlnm.Print_Area" localSheetId="0">Calendário!$B$1:$X$43</definedName>
    <definedName name="_xlnm.Print_Titles" localSheetId="1">Eventos!$1:$1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2" i="1" l="1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V29" i="1"/>
  <c r="W29" i="1"/>
  <c r="X29" i="1"/>
  <c r="B27" i="3"/>
  <c r="B26" i="3"/>
  <c r="B25" i="3"/>
  <c r="B24" i="3"/>
  <c r="B23" i="3"/>
  <c r="B22" i="3"/>
  <c r="B21" i="3"/>
  <c r="B20" i="3"/>
  <c r="B19" i="3"/>
  <c r="B18" i="3"/>
  <c r="A15" i="3"/>
  <c r="B15" i="3" s="1"/>
  <c r="A14" i="3"/>
  <c r="B14" i="3" s="1"/>
  <c r="A13" i="3"/>
  <c r="B13" i="3" s="1"/>
  <c r="A12" i="3"/>
  <c r="B12" i="3" s="1"/>
  <c r="A11" i="3"/>
  <c r="B11" i="3" s="1"/>
  <c r="A10" i="3"/>
  <c r="B10" i="3" s="1"/>
  <c r="A9" i="3"/>
  <c r="B9" i="3" s="1"/>
  <c r="A7" i="3"/>
  <c r="B7" i="3" s="1"/>
  <c r="A6" i="3"/>
  <c r="B6" i="3" s="1"/>
  <c r="A5" i="3"/>
  <c r="A8" i="3" s="1"/>
  <c r="B8" i="3" s="1"/>
  <c r="A2" i="3"/>
  <c r="B2" i="3" s="1"/>
  <c r="L299" i="2"/>
  <c r="B299" i="2"/>
  <c r="L298" i="2"/>
  <c r="B298" i="2"/>
  <c r="L297" i="2"/>
  <c r="B297" i="2"/>
  <c r="L296" i="2"/>
  <c r="B296" i="2"/>
  <c r="L295" i="2"/>
  <c r="B295" i="2"/>
  <c r="L294" i="2"/>
  <c r="B294" i="2"/>
  <c r="B293" i="2"/>
  <c r="B292" i="2"/>
  <c r="B291" i="2"/>
  <c r="B290" i="2"/>
  <c r="B289" i="2"/>
  <c r="B288" i="2"/>
  <c r="B287" i="2"/>
  <c r="B286" i="2"/>
  <c r="B285" i="2"/>
  <c r="B284" i="2"/>
  <c r="R42" i="1"/>
  <c r="J42" i="1"/>
  <c r="B42" i="1"/>
  <c r="X41" i="1"/>
  <c r="W41" i="1"/>
  <c r="V41" i="1"/>
  <c r="U41" i="1"/>
  <c r="T41" i="1"/>
  <c r="S41" i="1"/>
  <c r="R41" i="1"/>
  <c r="P41" i="1"/>
  <c r="O41" i="1"/>
  <c r="N41" i="1"/>
  <c r="M41" i="1"/>
  <c r="L41" i="1"/>
  <c r="K41" i="1"/>
  <c r="J41" i="1"/>
  <c r="H41" i="1"/>
  <c r="G41" i="1"/>
  <c r="F41" i="1"/>
  <c r="E41" i="1"/>
  <c r="D41" i="1"/>
  <c r="C41" i="1"/>
  <c r="B41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H40" i="1"/>
  <c r="G40" i="1"/>
  <c r="F40" i="1"/>
  <c r="E40" i="1"/>
  <c r="D40" i="1"/>
  <c r="C40" i="1"/>
  <c r="B40" i="1"/>
  <c r="X39" i="1"/>
  <c r="W39" i="1"/>
  <c r="V39" i="1"/>
  <c r="U39" i="1"/>
  <c r="T39" i="1"/>
  <c r="S39" i="1"/>
  <c r="R39" i="1"/>
  <c r="P39" i="1"/>
  <c r="O39" i="1"/>
  <c r="N39" i="1"/>
  <c r="M39" i="1"/>
  <c r="L39" i="1"/>
  <c r="K39" i="1"/>
  <c r="J39" i="1"/>
  <c r="H39" i="1"/>
  <c r="G39" i="1"/>
  <c r="F39" i="1"/>
  <c r="E39" i="1"/>
  <c r="D39" i="1"/>
  <c r="C39" i="1"/>
  <c r="B39" i="1"/>
  <c r="X38" i="1"/>
  <c r="W38" i="1"/>
  <c r="V38" i="1"/>
  <c r="U38" i="1"/>
  <c r="T38" i="1"/>
  <c r="S38" i="1"/>
  <c r="R38" i="1"/>
  <c r="P38" i="1"/>
  <c r="O38" i="1"/>
  <c r="N38" i="1"/>
  <c r="M38" i="1"/>
  <c r="L38" i="1"/>
  <c r="K38" i="1"/>
  <c r="J38" i="1"/>
  <c r="H38" i="1"/>
  <c r="G38" i="1"/>
  <c r="F38" i="1"/>
  <c r="E38" i="1"/>
  <c r="D38" i="1"/>
  <c r="C38" i="1"/>
  <c r="B38" i="1"/>
  <c r="X37" i="1"/>
  <c r="W37" i="1"/>
  <c r="V37" i="1"/>
  <c r="U37" i="1"/>
  <c r="T37" i="1"/>
  <c r="S37" i="1"/>
  <c r="R37" i="1"/>
  <c r="P37" i="1"/>
  <c r="O37" i="1"/>
  <c r="N37" i="1"/>
  <c r="M37" i="1"/>
  <c r="L37" i="1"/>
  <c r="K37" i="1"/>
  <c r="J37" i="1"/>
  <c r="H37" i="1"/>
  <c r="G37" i="1"/>
  <c r="F37" i="1"/>
  <c r="E37" i="1"/>
  <c r="D37" i="1"/>
  <c r="C37" i="1"/>
  <c r="B37" i="1"/>
  <c r="X36" i="1"/>
  <c r="W36" i="1"/>
  <c r="V36" i="1"/>
  <c r="U36" i="1"/>
  <c r="T36" i="1"/>
  <c r="S36" i="1"/>
  <c r="R36" i="1"/>
  <c r="P36" i="1"/>
  <c r="O36" i="1"/>
  <c r="N36" i="1"/>
  <c r="M36" i="1"/>
  <c r="L36" i="1"/>
  <c r="K36" i="1"/>
  <c r="J36" i="1"/>
  <c r="H36" i="1"/>
  <c r="G36" i="1"/>
  <c r="F36" i="1"/>
  <c r="E36" i="1"/>
  <c r="D36" i="1"/>
  <c r="C36" i="1"/>
  <c r="B36" i="1"/>
  <c r="R34" i="1"/>
  <c r="J34" i="1"/>
  <c r="B34" i="1"/>
  <c r="R32" i="1"/>
  <c r="B32" i="1"/>
  <c r="X31" i="1"/>
  <c r="W31" i="1"/>
  <c r="V31" i="1"/>
  <c r="U31" i="1"/>
  <c r="T31" i="1"/>
  <c r="S31" i="1"/>
  <c r="R31" i="1"/>
  <c r="P31" i="1"/>
  <c r="O31" i="1"/>
  <c r="N31" i="1"/>
  <c r="M31" i="1"/>
  <c r="L31" i="1"/>
  <c r="K31" i="1"/>
  <c r="J31" i="1"/>
  <c r="H31" i="1"/>
  <c r="G31" i="1"/>
  <c r="F31" i="1"/>
  <c r="E31" i="1"/>
  <c r="D31" i="1"/>
  <c r="C31" i="1"/>
  <c r="B31" i="1"/>
  <c r="X30" i="1"/>
  <c r="W30" i="1"/>
  <c r="V30" i="1"/>
  <c r="U30" i="1"/>
  <c r="T30" i="1"/>
  <c r="S30" i="1"/>
  <c r="R30" i="1"/>
  <c r="P30" i="1"/>
  <c r="O30" i="1"/>
  <c r="N30" i="1"/>
  <c r="M30" i="1"/>
  <c r="L30" i="1"/>
  <c r="K30" i="1"/>
  <c r="J30" i="1"/>
  <c r="H30" i="1"/>
  <c r="G30" i="1"/>
  <c r="F30" i="1"/>
  <c r="E30" i="1"/>
  <c r="D30" i="1"/>
  <c r="C30" i="1"/>
  <c r="B30" i="1"/>
  <c r="U29" i="1"/>
  <c r="T29" i="1"/>
  <c r="S29" i="1"/>
  <c r="R29" i="1"/>
  <c r="P29" i="1"/>
  <c r="O29" i="1"/>
  <c r="N29" i="1"/>
  <c r="M29" i="1"/>
  <c r="L29" i="1"/>
  <c r="K29" i="1"/>
  <c r="J29" i="1"/>
  <c r="H29" i="1"/>
  <c r="G29" i="1"/>
  <c r="F29" i="1"/>
  <c r="E29" i="1"/>
  <c r="D29" i="1"/>
  <c r="C29" i="1"/>
  <c r="B29" i="1"/>
  <c r="X28" i="1"/>
  <c r="W28" i="1"/>
  <c r="V28" i="1"/>
  <c r="U28" i="1"/>
  <c r="T28" i="1"/>
  <c r="S28" i="1"/>
  <c r="R28" i="1"/>
  <c r="P28" i="1"/>
  <c r="O28" i="1"/>
  <c r="N28" i="1"/>
  <c r="M28" i="1"/>
  <c r="L28" i="1"/>
  <c r="K28" i="1"/>
  <c r="J28" i="1"/>
  <c r="H28" i="1"/>
  <c r="G28" i="1"/>
  <c r="F28" i="1"/>
  <c r="E28" i="1"/>
  <c r="D28" i="1"/>
  <c r="C28" i="1"/>
  <c r="B28" i="1"/>
  <c r="X27" i="1"/>
  <c r="W27" i="1"/>
  <c r="V27" i="1"/>
  <c r="U27" i="1"/>
  <c r="T27" i="1"/>
  <c r="S27" i="1"/>
  <c r="R27" i="1"/>
  <c r="P27" i="1"/>
  <c r="O27" i="1"/>
  <c r="N27" i="1"/>
  <c r="M27" i="1"/>
  <c r="L27" i="1"/>
  <c r="K27" i="1"/>
  <c r="J27" i="1"/>
  <c r="H27" i="1"/>
  <c r="G27" i="1"/>
  <c r="F27" i="1"/>
  <c r="E27" i="1"/>
  <c r="D27" i="1"/>
  <c r="C27" i="1"/>
  <c r="B27" i="1"/>
  <c r="X26" i="1"/>
  <c r="W26" i="1"/>
  <c r="V26" i="1"/>
  <c r="U26" i="1"/>
  <c r="T26" i="1"/>
  <c r="S26" i="1"/>
  <c r="R26" i="1"/>
  <c r="P26" i="1"/>
  <c r="O26" i="1"/>
  <c r="N26" i="1"/>
  <c r="M26" i="1"/>
  <c r="L26" i="1"/>
  <c r="K26" i="1"/>
  <c r="J26" i="1"/>
  <c r="H26" i="1"/>
  <c r="G26" i="1"/>
  <c r="F26" i="1"/>
  <c r="E26" i="1"/>
  <c r="D26" i="1"/>
  <c r="C26" i="1"/>
  <c r="B26" i="1"/>
  <c r="R24" i="1"/>
  <c r="J24" i="1"/>
  <c r="B24" i="1"/>
  <c r="R22" i="1"/>
  <c r="J22" i="1"/>
  <c r="B22" i="1"/>
  <c r="X21" i="1"/>
  <c r="W21" i="1"/>
  <c r="V21" i="1"/>
  <c r="U21" i="1"/>
  <c r="T21" i="1"/>
  <c r="S21" i="1"/>
  <c r="R21" i="1"/>
  <c r="P21" i="1"/>
  <c r="O21" i="1"/>
  <c r="N21" i="1"/>
  <c r="M21" i="1"/>
  <c r="L21" i="1"/>
  <c r="K21" i="1"/>
  <c r="J21" i="1"/>
  <c r="H21" i="1"/>
  <c r="G21" i="1"/>
  <c r="F21" i="1"/>
  <c r="E21" i="1"/>
  <c r="D21" i="1"/>
  <c r="C21" i="1"/>
  <c r="B21" i="1"/>
  <c r="X20" i="1"/>
  <c r="W20" i="1"/>
  <c r="V20" i="1"/>
  <c r="U20" i="1"/>
  <c r="T20" i="1"/>
  <c r="S20" i="1"/>
  <c r="R20" i="1"/>
  <c r="P20" i="1"/>
  <c r="O20" i="1"/>
  <c r="N20" i="1"/>
  <c r="M20" i="1"/>
  <c r="L20" i="1"/>
  <c r="K20" i="1"/>
  <c r="J20" i="1"/>
  <c r="H20" i="1"/>
  <c r="G20" i="1"/>
  <c r="F20" i="1"/>
  <c r="E20" i="1"/>
  <c r="D20" i="1"/>
  <c r="C20" i="1"/>
  <c r="B20" i="1"/>
  <c r="X19" i="1"/>
  <c r="W19" i="1"/>
  <c r="V19" i="1"/>
  <c r="U19" i="1"/>
  <c r="T19" i="1"/>
  <c r="S19" i="1"/>
  <c r="R19" i="1"/>
  <c r="P19" i="1"/>
  <c r="O19" i="1"/>
  <c r="N19" i="1"/>
  <c r="M19" i="1"/>
  <c r="L19" i="1"/>
  <c r="K19" i="1"/>
  <c r="J19" i="1"/>
  <c r="H19" i="1"/>
  <c r="G19" i="1"/>
  <c r="F19" i="1"/>
  <c r="E19" i="1"/>
  <c r="D19" i="1"/>
  <c r="C19" i="1"/>
  <c r="B19" i="1"/>
  <c r="X18" i="1"/>
  <c r="W18" i="1"/>
  <c r="V18" i="1"/>
  <c r="U18" i="1"/>
  <c r="T18" i="1"/>
  <c r="S18" i="1"/>
  <c r="R18" i="1"/>
  <c r="P18" i="1"/>
  <c r="O18" i="1"/>
  <c r="N18" i="1"/>
  <c r="M18" i="1"/>
  <c r="L18" i="1"/>
  <c r="K18" i="1"/>
  <c r="J18" i="1"/>
  <c r="H18" i="1"/>
  <c r="G18" i="1"/>
  <c r="F18" i="1"/>
  <c r="E18" i="1"/>
  <c r="D18" i="1"/>
  <c r="C18" i="1"/>
  <c r="B18" i="1"/>
  <c r="X17" i="1"/>
  <c r="W17" i="1"/>
  <c r="V17" i="1"/>
  <c r="U17" i="1"/>
  <c r="T17" i="1"/>
  <c r="S17" i="1"/>
  <c r="R17" i="1"/>
  <c r="P17" i="1"/>
  <c r="O17" i="1"/>
  <c r="N17" i="1"/>
  <c r="M17" i="1"/>
  <c r="L17" i="1"/>
  <c r="K17" i="1"/>
  <c r="J17" i="1"/>
  <c r="H17" i="1"/>
  <c r="G17" i="1"/>
  <c r="F17" i="1"/>
  <c r="E17" i="1"/>
  <c r="D17" i="1"/>
  <c r="C17" i="1"/>
  <c r="B17" i="1"/>
  <c r="X16" i="1"/>
  <c r="W16" i="1"/>
  <c r="V16" i="1"/>
  <c r="U16" i="1"/>
  <c r="T16" i="1"/>
  <c r="S16" i="1"/>
  <c r="R16" i="1"/>
  <c r="P16" i="1"/>
  <c r="O16" i="1"/>
  <c r="N16" i="1"/>
  <c r="M16" i="1"/>
  <c r="L16" i="1"/>
  <c r="K16" i="1"/>
  <c r="J16" i="1"/>
  <c r="H16" i="1"/>
  <c r="G16" i="1"/>
  <c r="F16" i="1"/>
  <c r="E16" i="1"/>
  <c r="D16" i="1"/>
  <c r="C16" i="1"/>
  <c r="B16" i="1"/>
  <c r="R14" i="1"/>
  <c r="J14" i="1"/>
  <c r="B14" i="1"/>
  <c r="R12" i="1"/>
  <c r="J12" i="1"/>
  <c r="B12" i="1"/>
  <c r="X11" i="1"/>
  <c r="W11" i="1"/>
  <c r="V11" i="1"/>
  <c r="U11" i="1"/>
  <c r="T11" i="1"/>
  <c r="S11" i="1"/>
  <c r="R11" i="1"/>
  <c r="P11" i="1"/>
  <c r="O11" i="1"/>
  <c r="N11" i="1"/>
  <c r="M11" i="1"/>
  <c r="L11" i="1"/>
  <c r="K11" i="1"/>
  <c r="J11" i="1"/>
  <c r="H11" i="1"/>
  <c r="G11" i="1"/>
  <c r="F11" i="1"/>
  <c r="E11" i="1"/>
  <c r="D11" i="1"/>
  <c r="C11" i="1"/>
  <c r="B11" i="1"/>
  <c r="X10" i="1"/>
  <c r="W10" i="1"/>
  <c r="V10" i="1"/>
  <c r="U10" i="1"/>
  <c r="T10" i="1"/>
  <c r="S10" i="1"/>
  <c r="R10" i="1"/>
  <c r="P10" i="1"/>
  <c r="O10" i="1"/>
  <c r="N10" i="1"/>
  <c r="M10" i="1"/>
  <c r="L10" i="1"/>
  <c r="K10" i="1"/>
  <c r="J10" i="1"/>
  <c r="H10" i="1"/>
  <c r="G10" i="1"/>
  <c r="F10" i="1"/>
  <c r="E10" i="1"/>
  <c r="D10" i="1"/>
  <c r="C10" i="1"/>
  <c r="B10" i="1"/>
  <c r="X9" i="1"/>
  <c r="W9" i="1"/>
  <c r="V9" i="1"/>
  <c r="U9" i="1"/>
  <c r="T9" i="1"/>
  <c r="S9" i="1"/>
  <c r="R9" i="1"/>
  <c r="P9" i="1"/>
  <c r="O9" i="1"/>
  <c r="N9" i="1"/>
  <c r="M9" i="1"/>
  <c r="L9" i="1"/>
  <c r="K9" i="1"/>
  <c r="J9" i="1"/>
  <c r="H9" i="1"/>
  <c r="G9" i="1"/>
  <c r="F9" i="1"/>
  <c r="E9" i="1"/>
  <c r="D9" i="1"/>
  <c r="C9" i="1"/>
  <c r="B9" i="1"/>
  <c r="X8" i="1"/>
  <c r="W8" i="1"/>
  <c r="V8" i="1"/>
  <c r="U8" i="1"/>
  <c r="T8" i="1"/>
  <c r="S8" i="1"/>
  <c r="R8" i="1"/>
  <c r="P8" i="1"/>
  <c r="O8" i="1"/>
  <c r="N8" i="1"/>
  <c r="M8" i="1"/>
  <c r="L8" i="1"/>
  <c r="K8" i="1"/>
  <c r="J8" i="1"/>
  <c r="H8" i="1"/>
  <c r="G8" i="1"/>
  <c r="F8" i="1"/>
  <c r="E8" i="1"/>
  <c r="D8" i="1"/>
  <c r="C8" i="1"/>
  <c r="B8" i="1"/>
  <c r="X7" i="1"/>
  <c r="W7" i="1"/>
  <c r="V7" i="1"/>
  <c r="U7" i="1"/>
  <c r="T7" i="1"/>
  <c r="S7" i="1"/>
  <c r="R7" i="1"/>
  <c r="P7" i="1"/>
  <c r="O7" i="1"/>
  <c r="N7" i="1"/>
  <c r="M7" i="1"/>
  <c r="L7" i="1"/>
  <c r="K7" i="1"/>
  <c r="J7" i="1"/>
  <c r="H7" i="1"/>
  <c r="G7" i="1"/>
  <c r="F7" i="1"/>
  <c r="E7" i="1"/>
  <c r="D7" i="1"/>
  <c r="C7" i="1"/>
  <c r="B7" i="1"/>
  <c r="X6" i="1"/>
  <c r="W6" i="1"/>
  <c r="V6" i="1"/>
  <c r="U6" i="1"/>
  <c r="T6" i="1"/>
  <c r="S6" i="1"/>
  <c r="R6" i="1"/>
  <c r="P6" i="1"/>
  <c r="O6" i="1"/>
  <c r="N6" i="1"/>
  <c r="M6" i="1"/>
  <c r="L6" i="1"/>
  <c r="K6" i="1"/>
  <c r="J6" i="1"/>
  <c r="H6" i="1"/>
  <c r="G6" i="1"/>
  <c r="F6" i="1"/>
  <c r="E6" i="1"/>
  <c r="D6" i="1"/>
  <c r="C6" i="1"/>
  <c r="B6" i="1"/>
  <c r="R4" i="1"/>
  <c r="J4" i="1"/>
  <c r="B4" i="1"/>
  <c r="A3" i="3" l="1"/>
  <c r="B3" i="3" s="1"/>
  <c r="AD9" i="1"/>
  <c r="AA9" i="1" s="1"/>
  <c r="AD8" i="1"/>
  <c r="AD10" i="1"/>
  <c r="B5" i="3"/>
  <c r="AD11" i="1"/>
  <c r="AA6" i="1"/>
  <c r="Z12" i="1" s="1"/>
  <c r="A4" i="3"/>
  <c r="B4" i="3" s="1"/>
  <c r="Z9" i="1" l="1"/>
  <c r="AB9" i="1"/>
  <c r="AC9" i="1"/>
  <c r="AA8" i="1"/>
  <c r="Z8" i="1"/>
  <c r="AC8" i="1"/>
  <c r="AB8" i="1"/>
  <c r="AB10" i="1"/>
  <c r="AA10" i="1"/>
  <c r="Z10" i="1"/>
  <c r="AC10" i="1"/>
  <c r="Z11" i="1"/>
  <c r="AC11" i="1"/>
  <c r="AB11" i="1"/>
  <c r="AA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W2" authorId="0" shapeId="0" xr:uid="{00000000-0006-0000-0000-000001000000}">
      <text>
        <r>
          <rPr>
            <sz val="10"/>
            <rFont val="Arial"/>
            <family val="2"/>
          </rPr>
          <t>Mude o ano aqui: o calendário inteiro recalcula-se.</t>
        </r>
      </text>
    </comment>
    <comment ref="AA5" authorId="0" shapeId="0" xr:uid="{00000000-0006-0000-0000-000002000000}">
      <text>
        <r>
          <rPr>
            <sz val="10"/>
            <rFont val="Arial"/>
            <family val="2"/>
          </rPr>
          <t>Escreva aqui uma data (ex.: 15/09/2026) para ver os eventos desse dia. Por omissão mostra o dia de hoje.</t>
        </r>
      </text>
    </comment>
  </commentList>
</comments>
</file>

<file path=xl/sharedStrings.xml><?xml version="1.0" encoding="utf-8"?>
<sst xmlns="http://schemas.openxmlformats.org/spreadsheetml/2006/main" count="164" uniqueCount="70">
  <si>
    <t>Ano:</t>
  </si>
  <si>
    <t>Confirmado</t>
  </si>
  <si>
    <t>Pendente</t>
  </si>
  <si>
    <t>Feriado</t>
  </si>
  <si>
    <t>Consultar dia</t>
  </si>
  <si>
    <t>Seg</t>
  </si>
  <si>
    <t>Ter</t>
  </si>
  <si>
    <t>Qua</t>
  </si>
  <si>
    <t>Qui</t>
  </si>
  <si>
    <t>Sex</t>
  </si>
  <si>
    <t>Sáb</t>
  </si>
  <si>
    <t>Dom</t>
  </si>
  <si>
    <t>Data:</t>
  </si>
  <si>
    <t>N.º de eventos nesse dia:</t>
  </si>
  <si>
    <t>Evento</t>
  </si>
  <si>
    <t>Cliente / Entidade</t>
  </si>
  <si>
    <t>Hora</t>
  </si>
  <si>
    <t>Estado</t>
  </si>
  <si>
    <t>ref.</t>
  </si>
  <si>
    <t>Escreva uma data na célula amarela para ver os eventos desse dia.</t>
  </si>
  <si>
    <t>Data</t>
  </si>
  <si>
    <t>Dia</t>
  </si>
  <si>
    <t>Local</t>
  </si>
  <si>
    <t>Hora início</t>
  </si>
  <si>
    <t>Hora fim</t>
  </si>
  <si>
    <t>Equipamento</t>
  </si>
  <si>
    <t>Valor (€)</t>
  </si>
  <si>
    <t>Notas</t>
  </si>
  <si>
    <t>Chave (auxiliar)</t>
  </si>
  <si>
    <t>Tipo</t>
  </si>
  <si>
    <t>Ano Novo</t>
  </si>
  <si>
    <t>Nacional</t>
  </si>
  <si>
    <t>Carnaval (terça-feira)</t>
  </si>
  <si>
    <t>Facultativo — tolerância de ponto</t>
  </si>
  <si>
    <t>Sexta-feira Santa</t>
  </si>
  <si>
    <t>Páscoa</t>
  </si>
  <si>
    <t>Dia da Liberdade</t>
  </si>
  <si>
    <t>Dia do Trabalhador</t>
  </si>
  <si>
    <t>Corpo de Deus</t>
  </si>
  <si>
    <t>Dia de Portugal</t>
  </si>
  <si>
    <t>Assunção de Nossa Senhora</t>
  </si>
  <si>
    <t>Implantação da República</t>
  </si>
  <si>
    <t>Dia de Todos os Santos</t>
  </si>
  <si>
    <t>Restauração da Independência</t>
  </si>
  <si>
    <t>Imaculada Conceição</t>
  </si>
  <si>
    <t>Natal</t>
  </si>
  <si>
    <t>Feriados municipais / datas próprias — preencha a data e o nome (ficam a vermelho no calendário)</t>
  </si>
  <si>
    <t>Os feriados nacionais são calculados a partir do ano da folha Calendário (os móveis a partir da Páscoa). Confirme os feriados municipais junto da câmara municipal.</t>
  </si>
  <si>
    <t>Como usar esta ferramenta</t>
  </si>
  <si>
    <t>1.</t>
  </si>
  <si>
    <t>Não são necessárias macros. Se ao abrir o Excel mostrar «Vista Protegida», clique em «Ativar Edição» para as fórmulas e as cores funcionarem.</t>
  </si>
  <si>
    <t>2.</t>
  </si>
  <si>
    <t>Folha «Eventos»: registe cada evento numa linha. Só a coluna Data é obrigatória para o dia aparecer marcado no calendário. As colunas «Dia» e «Chave (auxiliar)» são automáticas — não as edite.</t>
  </si>
  <si>
    <t>3.</t>
  </si>
  <si>
    <t>Estado: escolha na lista (Confirmado / Pendente / Cancelado). Um estado vazio conta como Pendente. Eventos cancelados ficam registados mas não são marcados no calendário.</t>
  </si>
  <si>
    <t>4.</t>
  </si>
  <si>
    <t>Folha «Calendário»: mude o ano na célula amarela (W2) para ver outro ano. Verde = evento confirmado, amarelo = pendente, vermelho = feriado, cinzento = fim de semana, contorno azul = hoje.</t>
  </si>
  <si>
    <t>5.</t>
  </si>
  <si>
    <t>«Consultar dia»: escreva uma data na célula amarela para ver os eventos desse dia (mostra até 4; se houver mais, aparece um aviso).</t>
  </si>
  <si>
    <t>6.</t>
  </si>
  <si>
    <t>Folha «Feriados»: os feriados nacionais calculam-se sozinhos a partir do ano (incluindo Páscoa, Sexta-feira Santa, Corpo de Deus e Carnaval). Adicione feriados municipais ou datas próprias nas linhas amarelas.</t>
  </si>
  <si>
    <t>7.</t>
  </si>
  <si>
    <t>Células amarelas = para preencher; texto cinzento = calculado automaticamente.</t>
  </si>
  <si>
    <t>Casamento</t>
  </si>
  <si>
    <t>Mauro</t>
  </si>
  <si>
    <t>Festa em Matosinhos</t>
  </si>
  <si>
    <t>Coronado</t>
  </si>
  <si>
    <t>PA JBL COMPLETO + Acessorios</t>
  </si>
  <si>
    <t>Nossos parabens</t>
  </si>
  <si>
    <t>MAPA DE EVENTOS MINDSET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</si>
</sst>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#,##0.00&quot; €&quot;"/>
  </numFmts>
  <fonts count="19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1"/>
      <name val="Arial"/>
      <charset val="1"/>
    </font>
    <font>
      <b/>
      <sz val="12"/>
      <color rgb="FF0000FF"/>
      <name val="Arial"/>
      <charset val="1"/>
    </font>
    <font>
      <b/>
      <sz val="9"/>
      <color rgb="FF1F4E79"/>
      <name val="Arial"/>
      <charset val="1"/>
    </font>
    <font>
      <b/>
      <sz val="11"/>
      <color rgb="FFFFFFFF"/>
      <name val="Arial"/>
      <charset val="1"/>
    </font>
    <font>
      <b/>
      <sz val="11"/>
      <color rgb="FF0000FF"/>
      <name val="Arial"/>
      <charset val="1"/>
    </font>
    <font>
      <sz val="10"/>
      <name val="Arial"/>
      <charset val="1"/>
    </font>
    <font>
      <b/>
      <sz val="9"/>
      <color rgb="FF808080"/>
      <name val="Arial"/>
      <charset val="1"/>
    </font>
    <font>
      <sz val="8"/>
      <color rgb="FF808080"/>
      <name val="Arial"/>
      <charset val="1"/>
    </font>
    <font>
      <i/>
      <sz val="8"/>
      <color rgb="FF808080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sz val="10"/>
      <color rgb="FF000000"/>
      <name val="Arial"/>
      <charset val="1"/>
    </font>
    <font>
      <sz val="10"/>
      <color rgb="FF808080"/>
      <name val="Arial"/>
      <charset val="1"/>
    </font>
    <font>
      <b/>
      <sz val="11"/>
      <color rgb="FF1F4E79"/>
      <name val="Arial"/>
      <charset val="1"/>
    </font>
    <font>
      <b/>
      <sz val="14"/>
      <color rgb="FF1F4E79"/>
      <name val="Arial"/>
      <charset val="1"/>
    </font>
    <font>
      <sz val="10"/>
      <color theme="0" tint="-0.499984740745262"/>
      <name val="Arial"/>
      <family val="2"/>
    </font>
    <font>
      <b/>
      <sz val="16"/>
      <color rgb="FF1F4E7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4E79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B4C6E7"/>
        <bgColor rgb="FF99CCFF"/>
      </patternFill>
    </fill>
    <fill>
      <patternFill patternType="solid">
        <fgColor rgb="FF808080"/>
        <bgColor rgb="FF969696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1" fillId="0" borderId="0" xfId="0" applyFont="1"/>
    <xf numFmtId="0" fontId="2" fillId="0" borderId="0" xfId="0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4" fontId="13" fillId="2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20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5" fontId="13" fillId="0" borderId="1" xfId="0" applyNumberFormat="1" applyFont="1" applyBorder="1" applyAlignment="1">
      <alignment horizontal="left" vertical="center"/>
    </xf>
    <xf numFmtId="14" fontId="13" fillId="0" borderId="1" xfId="0" applyNumberFormat="1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6" fillId="0" borderId="0" xfId="0" applyFont="1"/>
    <xf numFmtId="0" fontId="15" fillId="0" borderId="0" xfId="0" applyFont="1" applyAlignment="1">
      <alignment horizontal="right" vertical="top"/>
    </xf>
    <xf numFmtId="0" fontId="7" fillId="0" borderId="0" xfId="0" applyFont="1" applyAlignment="1">
      <alignment horizontal="left" vertical="top" wrapText="1"/>
    </xf>
    <xf numFmtId="14" fontId="17" fillId="2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20" fontId="17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left" vertical="center"/>
    </xf>
    <xf numFmtId="14" fontId="17" fillId="7" borderId="1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left" vertical="center"/>
    </xf>
    <xf numFmtId="20" fontId="17" fillId="8" borderId="1" xfId="0" applyNumberFormat="1" applyFont="1" applyFill="1" applyBorder="1" applyAlignment="1">
      <alignment horizontal="center" vertical="center"/>
    </xf>
    <xf numFmtId="165" fontId="17" fillId="8" borderId="1" xfId="0" applyNumberFormat="1" applyFont="1" applyFill="1" applyBorder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1" fillId="0" borderId="0" xfId="0" applyFont="1"/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15" fillId="0" borderId="0" xfId="0" applyFon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i/>
        <color rgb="FF80808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b/>
        <color rgb="FFC00000"/>
      </font>
    </dxf>
    <dxf>
      <font>
        <b/>
      </font>
      <fill>
        <patternFill>
          <bgColor rgb="FFFFEB9C"/>
        </patternFill>
      </fill>
    </dxf>
    <dxf>
      <font>
        <b/>
      </font>
      <fill>
        <patternFill>
          <bgColor rgb="FFC6EFCE"/>
        </patternFill>
      </fill>
    </dxf>
    <dxf>
      <font>
        <b/>
        <color rgb="FF1F4E79"/>
      </font>
      <border diagonalUp="0" diagonalDown="0">
        <left style="medium">
          <color rgb="FF1F4E79"/>
        </left>
        <right style="medium">
          <color rgb="FF1F4E79"/>
        </right>
        <top style="medium">
          <color rgb="FF1F4E79"/>
        </top>
        <bottom style="medium">
          <color rgb="FF1F4E79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548235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18B0D79-2E46-45F5-A216-0740C6CD0689}">
  <we:reference id="81ae7f57-2760-4043-a9cb-e0d36209e808" version="1.3.0.0" store="EXCatalog" storeType="EXCatalog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  <pageSetUpPr fitToPage="1"/>
  </sheetPr>
  <dimension ref="B1:AD43"/>
  <sheetViews>
    <sheetView showGridLines="0" tabSelected="1" zoomScale="71" zoomScaleNormal="100" workbookViewId="0">
      <pane ySplit="3" topLeftCell="A4" activePane="bottomLeft" state="frozen"/>
      <selection pane="bottomLeft" activeCell="AA21" sqref="AA21"/>
    </sheetView>
  </sheetViews>
  <sheetFormatPr defaultColWidth="8.6640625" defaultRowHeight="14.4" x14ac:dyDescent="0.3"/>
  <cols>
    <col min="1" max="1" width="2" customWidth="1"/>
    <col min="2" max="8" width="4.5546875" customWidth="1"/>
    <col min="9" max="9" width="1.5546875" customWidth="1"/>
    <col min="10" max="16" width="4.5546875" customWidth="1"/>
    <col min="17" max="17" width="1.5546875" customWidth="1"/>
    <col min="18" max="24" width="4.5546875" customWidth="1"/>
    <col min="25" max="25" width="2" customWidth="1"/>
    <col min="26" max="26" width="28" customWidth="1"/>
    <col min="27" max="27" width="22" customWidth="1"/>
    <col min="28" max="28" width="8" customWidth="1"/>
    <col min="29" max="29" width="12" customWidth="1"/>
    <col min="30" max="30" width="5" customWidth="1"/>
  </cols>
  <sheetData>
    <row r="1" spans="2:30" ht="27.75" customHeight="1" x14ac:dyDescent="0.3">
      <c r="B1" s="39" t="s">
        <v>69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</row>
    <row r="2" spans="2:30" ht="19.5" customHeight="1" x14ac:dyDescent="0.3">
      <c r="U2" s="41" t="s">
        <v>0</v>
      </c>
      <c r="V2" s="41"/>
      <c r="W2" s="42">
        <v>2026</v>
      </c>
      <c r="X2" s="42"/>
    </row>
    <row r="3" spans="2:30" ht="6" customHeight="1" x14ac:dyDescent="0.3"/>
    <row r="4" spans="2:30" ht="18" customHeight="1" x14ac:dyDescent="0.3">
      <c r="B4" s="35" t="str">
        <f>"Janeiro "&amp;AnoCalendario</f>
        <v>Janeiro 2026</v>
      </c>
      <c r="C4" s="35"/>
      <c r="D4" s="35"/>
      <c r="E4" s="35"/>
      <c r="F4" s="35"/>
      <c r="G4" s="35"/>
      <c r="H4" s="35"/>
      <c r="J4" s="35" t="str">
        <f>"Fevereiro "&amp;AnoCalendario</f>
        <v>Fevereiro 2026</v>
      </c>
      <c r="K4" s="35"/>
      <c r="L4" s="35"/>
      <c r="M4" s="35"/>
      <c r="N4" s="35"/>
      <c r="O4" s="35"/>
      <c r="P4" s="35"/>
      <c r="R4" s="35" t="str">
        <f>"Março "&amp;AnoCalendario</f>
        <v>Março 2026</v>
      </c>
      <c r="S4" s="35"/>
      <c r="T4" s="35"/>
      <c r="U4" s="35"/>
      <c r="V4" s="35"/>
      <c r="W4" s="35"/>
      <c r="X4" s="35"/>
      <c r="Z4" s="35" t="s">
        <v>4</v>
      </c>
      <c r="AA4" s="35"/>
      <c r="AB4" s="35"/>
      <c r="AC4" s="35"/>
    </row>
    <row r="5" spans="2:30" ht="15" customHeight="1" x14ac:dyDescent="0.3"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4" t="s">
        <v>10</v>
      </c>
      <c r="H5" s="4" t="s">
        <v>11</v>
      </c>
      <c r="J5" s="3" t="s">
        <v>5</v>
      </c>
      <c r="K5" s="3" t="s">
        <v>6</v>
      </c>
      <c r="L5" s="3" t="s">
        <v>7</v>
      </c>
      <c r="M5" s="3" t="s">
        <v>8</v>
      </c>
      <c r="N5" s="3" t="s">
        <v>9</v>
      </c>
      <c r="O5" s="4" t="s">
        <v>10</v>
      </c>
      <c r="P5" s="4" t="s">
        <v>11</v>
      </c>
      <c r="R5" s="3" t="s">
        <v>5</v>
      </c>
      <c r="S5" s="3" t="s">
        <v>6</v>
      </c>
      <c r="T5" s="3" t="s">
        <v>7</v>
      </c>
      <c r="U5" s="3" t="s">
        <v>8</v>
      </c>
      <c r="V5" s="3" t="s">
        <v>9</v>
      </c>
      <c r="W5" s="4" t="s">
        <v>10</v>
      </c>
      <c r="X5" s="4" t="s">
        <v>11</v>
      </c>
      <c r="Z5" s="2" t="s">
        <v>12</v>
      </c>
      <c r="AA5" s="5">
        <v>46290</v>
      </c>
    </row>
    <row r="6" spans="2:30" ht="16.5" customHeight="1" x14ac:dyDescent="0.3">
      <c r="B6" s="6" t="str">
        <f>IF(MONTH(DATE(AnoCalendario,1,1)-WEEKDAY(DATE(AnoCalendario,1,1),2)+1)=1,DATE(AnoCalendario,1,1)-WEEKDAY(DATE(AnoCalendario,1,1),2)+1,"")</f>
        <v/>
      </c>
      <c r="C6" s="6" t="str">
        <f>IF(MONTH(DATE(AnoCalendario,1,1)-WEEKDAY(DATE(AnoCalendario,1,1),2)+2)=1,DATE(AnoCalendario,1,1)-WEEKDAY(DATE(AnoCalendario,1,1),2)+2,"")</f>
        <v/>
      </c>
      <c r="D6" s="6" t="str">
        <f>IF(MONTH(DATE(AnoCalendario,1,1)-WEEKDAY(DATE(AnoCalendario,1,1),2)+3)=1,DATE(AnoCalendario,1,1)-WEEKDAY(DATE(AnoCalendario,1,1),2)+3,"")</f>
        <v/>
      </c>
      <c r="E6" s="6">
        <f>IF(MONTH(DATE(AnoCalendario,1,1)-WEEKDAY(DATE(AnoCalendario,1,1),2)+4)=1,DATE(AnoCalendario,1,1)-WEEKDAY(DATE(AnoCalendario,1,1),2)+4,"")</f>
        <v>46023</v>
      </c>
      <c r="F6" s="6">
        <f>IF(MONTH(DATE(AnoCalendario,1,1)-WEEKDAY(DATE(AnoCalendario,1,1),2)+5)=1,DATE(AnoCalendario,1,1)-WEEKDAY(DATE(AnoCalendario,1,1),2)+5,"")</f>
        <v>46024</v>
      </c>
      <c r="G6" s="6">
        <f>IF(MONTH(DATE(AnoCalendario,1,1)-WEEKDAY(DATE(AnoCalendario,1,1),2)+6)=1,DATE(AnoCalendario,1,1)-WEEKDAY(DATE(AnoCalendario,1,1),2)+6,"")</f>
        <v>46025</v>
      </c>
      <c r="H6" s="6">
        <f>IF(MONTH(DATE(AnoCalendario,1,1)-WEEKDAY(DATE(AnoCalendario,1,1),2)+7)=1,DATE(AnoCalendario,1,1)-WEEKDAY(DATE(AnoCalendario,1,1),2)+7,"")</f>
        <v>46026</v>
      </c>
      <c r="J6" s="6" t="str">
        <f>IF(MONTH(DATE(AnoCalendario,2,1)-WEEKDAY(DATE(AnoCalendario,2,1),2)+1)=2,DATE(AnoCalendario,2,1)-WEEKDAY(DATE(AnoCalendario,2,1),2)+1,"")</f>
        <v/>
      </c>
      <c r="K6" s="6" t="str">
        <f>IF(MONTH(DATE(AnoCalendario,2,1)-WEEKDAY(DATE(AnoCalendario,2,1),2)+2)=2,DATE(AnoCalendario,2,1)-WEEKDAY(DATE(AnoCalendario,2,1),2)+2,"")</f>
        <v/>
      </c>
      <c r="L6" s="6" t="str">
        <f>IF(MONTH(DATE(AnoCalendario,2,1)-WEEKDAY(DATE(AnoCalendario,2,1),2)+3)=2,DATE(AnoCalendario,2,1)-WEEKDAY(DATE(AnoCalendario,2,1),2)+3,"")</f>
        <v/>
      </c>
      <c r="M6" s="6" t="str">
        <f>IF(MONTH(DATE(AnoCalendario,2,1)-WEEKDAY(DATE(AnoCalendario,2,1),2)+4)=2,DATE(AnoCalendario,2,1)-WEEKDAY(DATE(AnoCalendario,2,1),2)+4,"")</f>
        <v/>
      </c>
      <c r="N6" s="6" t="str">
        <f>IF(MONTH(DATE(AnoCalendario,2,1)-WEEKDAY(DATE(AnoCalendario,2,1),2)+5)=2,DATE(AnoCalendario,2,1)-WEEKDAY(DATE(AnoCalendario,2,1),2)+5,"")</f>
        <v/>
      </c>
      <c r="O6" s="6" t="str">
        <f>IF(MONTH(DATE(AnoCalendario,2,1)-WEEKDAY(DATE(AnoCalendario,2,1),2)+6)=2,DATE(AnoCalendario,2,1)-WEEKDAY(DATE(AnoCalendario,2,1),2)+6,"")</f>
        <v/>
      </c>
      <c r="P6" s="6">
        <f>IF(MONTH(DATE(AnoCalendario,2,1)-WEEKDAY(DATE(AnoCalendario,2,1),2)+7)=2,DATE(AnoCalendario,2,1)-WEEKDAY(DATE(AnoCalendario,2,1),2)+7,"")</f>
        <v>46054</v>
      </c>
      <c r="R6" s="6" t="str">
        <f>IF(MONTH(DATE(AnoCalendario,3,1)-WEEKDAY(DATE(AnoCalendario,3,1),2)+1)=3,DATE(AnoCalendario,3,1)-WEEKDAY(DATE(AnoCalendario,3,1),2)+1,"")</f>
        <v/>
      </c>
      <c r="S6" s="6" t="str">
        <f>IF(MONTH(DATE(AnoCalendario,3,1)-WEEKDAY(DATE(AnoCalendario,3,1),2)+2)=3,DATE(AnoCalendario,3,1)-WEEKDAY(DATE(AnoCalendario,3,1),2)+2,"")</f>
        <v/>
      </c>
      <c r="T6" s="6" t="str">
        <f>IF(MONTH(DATE(AnoCalendario,3,1)-WEEKDAY(DATE(AnoCalendario,3,1),2)+3)=3,DATE(AnoCalendario,3,1)-WEEKDAY(DATE(AnoCalendario,3,1),2)+3,"")</f>
        <v/>
      </c>
      <c r="U6" s="6" t="str">
        <f>IF(MONTH(DATE(AnoCalendario,3,1)-WEEKDAY(DATE(AnoCalendario,3,1),2)+4)=3,DATE(AnoCalendario,3,1)-WEEKDAY(DATE(AnoCalendario,3,1),2)+4,"")</f>
        <v/>
      </c>
      <c r="V6" s="6" t="str">
        <f>IF(MONTH(DATE(AnoCalendario,3,1)-WEEKDAY(DATE(AnoCalendario,3,1),2)+5)=3,DATE(AnoCalendario,3,1)-WEEKDAY(DATE(AnoCalendario,3,1),2)+5,"")</f>
        <v/>
      </c>
      <c r="W6" s="6" t="str">
        <f>IF(MONTH(DATE(AnoCalendario,3,1)-WEEKDAY(DATE(AnoCalendario,3,1),2)+6)=3,DATE(AnoCalendario,3,1)-WEEKDAY(DATE(AnoCalendario,3,1),2)+6,"")</f>
        <v/>
      </c>
      <c r="X6" s="6">
        <f>IF(MONTH(DATE(AnoCalendario,3,1)-WEEKDAY(DATE(AnoCalendario,3,1),2)+7)=3,DATE(AnoCalendario,3,1)-WEEKDAY(DATE(AnoCalendario,3,1),2)+7,"")</f>
        <v>46082</v>
      </c>
      <c r="Z6" s="2" t="s">
        <v>13</v>
      </c>
      <c r="AA6" s="7">
        <f>COUNTIF(Eventos!$A$2:$A$999,INT($AA$5))</f>
        <v>1</v>
      </c>
    </row>
    <row r="7" spans="2:30" ht="16.5" customHeight="1" x14ac:dyDescent="0.3">
      <c r="B7" s="6">
        <f>IF(MONTH(DATE(AnoCalendario,1,1)-WEEKDAY(DATE(AnoCalendario,1,1),2)+8)=1,DATE(AnoCalendario,1,1)-WEEKDAY(DATE(AnoCalendario,1,1),2)+8,"")</f>
        <v>46027</v>
      </c>
      <c r="C7" s="6">
        <f>IF(MONTH(DATE(AnoCalendario,1,1)-WEEKDAY(DATE(AnoCalendario,1,1),2)+9)=1,DATE(AnoCalendario,1,1)-WEEKDAY(DATE(AnoCalendario,1,1),2)+9,"")</f>
        <v>46028</v>
      </c>
      <c r="D7" s="6">
        <f>IF(MONTH(DATE(AnoCalendario,1,1)-WEEKDAY(DATE(AnoCalendario,1,1),2)+10)=1,DATE(AnoCalendario,1,1)-WEEKDAY(DATE(AnoCalendario,1,1),2)+10,"")</f>
        <v>46029</v>
      </c>
      <c r="E7" s="6">
        <f>IF(MONTH(DATE(AnoCalendario,1,1)-WEEKDAY(DATE(AnoCalendario,1,1),2)+11)=1,DATE(AnoCalendario,1,1)-WEEKDAY(DATE(AnoCalendario,1,1),2)+11,"")</f>
        <v>46030</v>
      </c>
      <c r="F7" s="6">
        <f>IF(MONTH(DATE(AnoCalendario,1,1)-WEEKDAY(DATE(AnoCalendario,1,1),2)+12)=1,DATE(AnoCalendario,1,1)-WEEKDAY(DATE(AnoCalendario,1,1),2)+12,"")</f>
        <v>46031</v>
      </c>
      <c r="G7" s="6">
        <f>IF(MONTH(DATE(AnoCalendario,1,1)-WEEKDAY(DATE(AnoCalendario,1,1),2)+13)=1,DATE(AnoCalendario,1,1)-WEEKDAY(DATE(AnoCalendario,1,1),2)+13,"")</f>
        <v>46032</v>
      </c>
      <c r="H7" s="6">
        <f>IF(MONTH(DATE(AnoCalendario,1,1)-WEEKDAY(DATE(AnoCalendario,1,1),2)+14)=1,DATE(AnoCalendario,1,1)-WEEKDAY(DATE(AnoCalendario,1,1),2)+14,"")</f>
        <v>46033</v>
      </c>
      <c r="J7" s="6">
        <f>IF(MONTH(DATE(AnoCalendario,2,1)-WEEKDAY(DATE(AnoCalendario,2,1),2)+8)=2,DATE(AnoCalendario,2,1)-WEEKDAY(DATE(AnoCalendario,2,1),2)+8,"")</f>
        <v>46055</v>
      </c>
      <c r="K7" s="6">
        <f>IF(MONTH(DATE(AnoCalendario,2,1)-WEEKDAY(DATE(AnoCalendario,2,1),2)+9)=2,DATE(AnoCalendario,2,1)-WEEKDAY(DATE(AnoCalendario,2,1),2)+9,"")</f>
        <v>46056</v>
      </c>
      <c r="L7" s="6">
        <f>IF(MONTH(DATE(AnoCalendario,2,1)-WEEKDAY(DATE(AnoCalendario,2,1),2)+10)=2,DATE(AnoCalendario,2,1)-WEEKDAY(DATE(AnoCalendario,2,1),2)+10,"")</f>
        <v>46057</v>
      </c>
      <c r="M7" s="6">
        <f>IF(MONTH(DATE(AnoCalendario,2,1)-WEEKDAY(DATE(AnoCalendario,2,1),2)+11)=2,DATE(AnoCalendario,2,1)-WEEKDAY(DATE(AnoCalendario,2,1),2)+11,"")</f>
        <v>46058</v>
      </c>
      <c r="N7" s="6">
        <f>IF(MONTH(DATE(AnoCalendario,2,1)-WEEKDAY(DATE(AnoCalendario,2,1),2)+12)=2,DATE(AnoCalendario,2,1)-WEEKDAY(DATE(AnoCalendario,2,1),2)+12,"")</f>
        <v>46059</v>
      </c>
      <c r="O7" s="6">
        <f>IF(MONTH(DATE(AnoCalendario,2,1)-WEEKDAY(DATE(AnoCalendario,2,1),2)+13)=2,DATE(AnoCalendario,2,1)-WEEKDAY(DATE(AnoCalendario,2,1),2)+13,"")</f>
        <v>46060</v>
      </c>
      <c r="P7" s="6">
        <f>IF(MONTH(DATE(AnoCalendario,2,1)-WEEKDAY(DATE(AnoCalendario,2,1),2)+14)=2,DATE(AnoCalendario,2,1)-WEEKDAY(DATE(AnoCalendario,2,1),2)+14,"")</f>
        <v>46061</v>
      </c>
      <c r="R7" s="6">
        <f>IF(MONTH(DATE(AnoCalendario,3,1)-WEEKDAY(DATE(AnoCalendario,3,1),2)+8)=3,DATE(AnoCalendario,3,1)-WEEKDAY(DATE(AnoCalendario,3,1),2)+8,"")</f>
        <v>46083</v>
      </c>
      <c r="S7" s="6">
        <f>IF(MONTH(DATE(AnoCalendario,3,1)-WEEKDAY(DATE(AnoCalendario,3,1),2)+9)=3,DATE(AnoCalendario,3,1)-WEEKDAY(DATE(AnoCalendario,3,1),2)+9,"")</f>
        <v>46084</v>
      </c>
      <c r="T7" s="6">
        <f>IF(MONTH(DATE(AnoCalendario,3,1)-WEEKDAY(DATE(AnoCalendario,3,1),2)+10)=3,DATE(AnoCalendario,3,1)-WEEKDAY(DATE(AnoCalendario,3,1),2)+10,"")</f>
        <v>46085</v>
      </c>
      <c r="U7" s="6">
        <f>IF(MONTH(DATE(AnoCalendario,3,1)-WEEKDAY(DATE(AnoCalendario,3,1),2)+11)=3,DATE(AnoCalendario,3,1)-WEEKDAY(DATE(AnoCalendario,3,1),2)+11,"")</f>
        <v>46086</v>
      </c>
      <c r="V7" s="6">
        <f>IF(MONTH(DATE(AnoCalendario,3,1)-WEEKDAY(DATE(AnoCalendario,3,1),2)+12)=3,DATE(AnoCalendario,3,1)-WEEKDAY(DATE(AnoCalendario,3,1),2)+12,"")</f>
        <v>46087</v>
      </c>
      <c r="W7" s="6">
        <f>IF(MONTH(DATE(AnoCalendario,3,1)-WEEKDAY(DATE(AnoCalendario,3,1),2)+13)=3,DATE(AnoCalendario,3,1)-WEEKDAY(DATE(AnoCalendario,3,1),2)+13,"")</f>
        <v>46088</v>
      </c>
      <c r="X7" s="6">
        <f>IF(MONTH(DATE(AnoCalendario,3,1)-WEEKDAY(DATE(AnoCalendario,3,1),2)+14)=3,DATE(AnoCalendario,3,1)-WEEKDAY(DATE(AnoCalendario,3,1),2)+14,"")</f>
        <v>46089</v>
      </c>
      <c r="Z7" s="3" t="s">
        <v>14</v>
      </c>
      <c r="AA7" s="3" t="s">
        <v>15</v>
      </c>
      <c r="AB7" s="3" t="s">
        <v>16</v>
      </c>
      <c r="AC7" s="3" t="s">
        <v>17</v>
      </c>
      <c r="AD7" s="8" t="s">
        <v>18</v>
      </c>
    </row>
    <row r="8" spans="2:30" ht="16.5" customHeight="1" x14ac:dyDescent="0.3">
      <c r="B8" s="6">
        <f>IF(MONTH(DATE(AnoCalendario,1,1)-WEEKDAY(DATE(AnoCalendario,1,1),2)+15)=1,DATE(AnoCalendario,1,1)-WEEKDAY(DATE(AnoCalendario,1,1),2)+15,"")</f>
        <v>46034</v>
      </c>
      <c r="C8" s="6">
        <f>IF(MONTH(DATE(AnoCalendario,1,1)-WEEKDAY(DATE(AnoCalendario,1,1),2)+16)=1,DATE(AnoCalendario,1,1)-WEEKDAY(DATE(AnoCalendario,1,1),2)+16,"")</f>
        <v>46035</v>
      </c>
      <c r="D8" s="6">
        <f>IF(MONTH(DATE(AnoCalendario,1,1)-WEEKDAY(DATE(AnoCalendario,1,1),2)+17)=1,DATE(AnoCalendario,1,1)-WEEKDAY(DATE(AnoCalendario,1,1),2)+17,"")</f>
        <v>46036</v>
      </c>
      <c r="E8" s="6">
        <f>IF(MONTH(DATE(AnoCalendario,1,1)-WEEKDAY(DATE(AnoCalendario,1,1),2)+18)=1,DATE(AnoCalendario,1,1)-WEEKDAY(DATE(AnoCalendario,1,1),2)+18,"")</f>
        <v>46037</v>
      </c>
      <c r="F8" s="6">
        <f>IF(MONTH(DATE(AnoCalendario,1,1)-WEEKDAY(DATE(AnoCalendario,1,1),2)+19)=1,DATE(AnoCalendario,1,1)-WEEKDAY(DATE(AnoCalendario,1,1),2)+19,"")</f>
        <v>46038</v>
      </c>
      <c r="G8" s="6">
        <f>IF(MONTH(DATE(AnoCalendario,1,1)-WEEKDAY(DATE(AnoCalendario,1,1),2)+20)=1,DATE(AnoCalendario,1,1)-WEEKDAY(DATE(AnoCalendario,1,1),2)+20,"")</f>
        <v>46039</v>
      </c>
      <c r="H8" s="6">
        <f>IF(MONTH(DATE(AnoCalendario,1,1)-WEEKDAY(DATE(AnoCalendario,1,1),2)+21)=1,DATE(AnoCalendario,1,1)-WEEKDAY(DATE(AnoCalendario,1,1),2)+21,"")</f>
        <v>46040</v>
      </c>
      <c r="J8" s="6">
        <f>IF(MONTH(DATE(AnoCalendario,2,1)-WEEKDAY(DATE(AnoCalendario,2,1),2)+15)=2,DATE(AnoCalendario,2,1)-WEEKDAY(DATE(AnoCalendario,2,1),2)+15,"")</f>
        <v>46062</v>
      </c>
      <c r="K8" s="6">
        <f>IF(MONTH(DATE(AnoCalendario,2,1)-WEEKDAY(DATE(AnoCalendario,2,1),2)+16)=2,DATE(AnoCalendario,2,1)-WEEKDAY(DATE(AnoCalendario,2,1),2)+16,"")</f>
        <v>46063</v>
      </c>
      <c r="L8" s="6">
        <f>IF(MONTH(DATE(AnoCalendario,2,1)-WEEKDAY(DATE(AnoCalendario,2,1),2)+17)=2,DATE(AnoCalendario,2,1)-WEEKDAY(DATE(AnoCalendario,2,1),2)+17,"")</f>
        <v>46064</v>
      </c>
      <c r="M8" s="6">
        <f>IF(MONTH(DATE(AnoCalendario,2,1)-WEEKDAY(DATE(AnoCalendario,2,1),2)+18)=2,DATE(AnoCalendario,2,1)-WEEKDAY(DATE(AnoCalendario,2,1),2)+18,"")</f>
        <v>46065</v>
      </c>
      <c r="N8" s="6">
        <f>IF(MONTH(DATE(AnoCalendario,2,1)-WEEKDAY(DATE(AnoCalendario,2,1),2)+19)=2,DATE(AnoCalendario,2,1)-WEEKDAY(DATE(AnoCalendario,2,1),2)+19,"")</f>
        <v>46066</v>
      </c>
      <c r="O8" s="6">
        <f>IF(MONTH(DATE(AnoCalendario,2,1)-WEEKDAY(DATE(AnoCalendario,2,1),2)+20)=2,DATE(AnoCalendario,2,1)-WEEKDAY(DATE(AnoCalendario,2,1),2)+20,"")</f>
        <v>46067</v>
      </c>
      <c r="P8" s="6">
        <f>IF(MONTH(DATE(AnoCalendario,2,1)-WEEKDAY(DATE(AnoCalendario,2,1),2)+21)=2,DATE(AnoCalendario,2,1)-WEEKDAY(DATE(AnoCalendario,2,1),2)+21,"")</f>
        <v>46068</v>
      </c>
      <c r="R8" s="6">
        <f>IF(MONTH(DATE(AnoCalendario,3,1)-WEEKDAY(DATE(AnoCalendario,3,1),2)+15)=3,DATE(AnoCalendario,3,1)-WEEKDAY(DATE(AnoCalendario,3,1),2)+15,"")</f>
        <v>46090</v>
      </c>
      <c r="S8" s="6">
        <f>IF(MONTH(DATE(AnoCalendario,3,1)-WEEKDAY(DATE(AnoCalendario,3,1),2)+16)=3,DATE(AnoCalendario,3,1)-WEEKDAY(DATE(AnoCalendario,3,1),2)+16,"")</f>
        <v>46091</v>
      </c>
      <c r="T8" s="6">
        <f>IF(MONTH(DATE(AnoCalendario,3,1)-WEEKDAY(DATE(AnoCalendario,3,1),2)+17)=3,DATE(AnoCalendario,3,1)-WEEKDAY(DATE(AnoCalendario,3,1),2)+17,"")</f>
        <v>46092</v>
      </c>
      <c r="U8" s="6">
        <f>IF(MONTH(DATE(AnoCalendario,3,1)-WEEKDAY(DATE(AnoCalendario,3,1),2)+18)=3,DATE(AnoCalendario,3,1)-WEEKDAY(DATE(AnoCalendario,3,1),2)+18,"")</f>
        <v>46093</v>
      </c>
      <c r="V8" s="6">
        <f>IF(MONTH(DATE(AnoCalendario,3,1)-WEEKDAY(DATE(AnoCalendario,3,1),2)+19)=3,DATE(AnoCalendario,3,1)-WEEKDAY(DATE(AnoCalendario,3,1),2)+19,"")</f>
        <v>46094</v>
      </c>
      <c r="W8" s="6">
        <f>IF(MONTH(DATE(AnoCalendario,3,1)-WEEKDAY(DATE(AnoCalendario,3,1),2)+20)=3,DATE(AnoCalendario,3,1)-WEEKDAY(DATE(AnoCalendario,3,1),2)+20,"")</f>
        <v>46095</v>
      </c>
      <c r="X8" s="6">
        <f>IF(MONTH(DATE(AnoCalendario,3,1)-WEEKDAY(DATE(AnoCalendario,3,1),2)+21)=3,DATE(AnoCalendario,3,1)-WEEKDAY(DATE(AnoCalendario,3,1),2)+21,"")</f>
        <v>46096</v>
      </c>
      <c r="Z8" s="9" t="str">
        <f>IF($AD8="","",INDEX(Eventos!$C$2:$C$999,$AD8)&amp;"")</f>
        <v>Casamento</v>
      </c>
      <c r="AA8" s="9" t="str">
        <f>IF($AD8="","",INDEX(Eventos!$D$2:$D$999,$AD8)&amp;"")</f>
        <v>Mauro</v>
      </c>
      <c r="AB8" s="10" t="str">
        <f>IF($AD8="","",IF(INDEX(Eventos!$F$2:$F$999,$AD8)="","",TEXT(INDEX(Eventos!$F$2:$F$999,$AD8),"hh:mm")))</f>
        <v>12:00</v>
      </c>
      <c r="AC8" s="10" t="str">
        <f>IF($AD8="","",INDEX(Eventos!$H$2:$H$999,$AD8)&amp;"")</f>
        <v>Confirmado</v>
      </c>
      <c r="AD8" s="11">
        <f>IFERROR(MATCH(INT($AA$5)&amp;"-1",Eventos!$L$2:$L$999,0),"")</f>
        <v>2</v>
      </c>
    </row>
    <row r="9" spans="2:30" ht="16.5" customHeight="1" x14ac:dyDescent="0.3">
      <c r="B9" s="6">
        <f>IF(MONTH(DATE(AnoCalendario,1,1)-WEEKDAY(DATE(AnoCalendario,1,1),2)+22)=1,DATE(AnoCalendario,1,1)-WEEKDAY(DATE(AnoCalendario,1,1),2)+22,"")</f>
        <v>46041</v>
      </c>
      <c r="C9" s="6">
        <f>IF(MONTH(DATE(AnoCalendario,1,1)-WEEKDAY(DATE(AnoCalendario,1,1),2)+23)=1,DATE(AnoCalendario,1,1)-WEEKDAY(DATE(AnoCalendario,1,1),2)+23,"")</f>
        <v>46042</v>
      </c>
      <c r="D9" s="6">
        <f>IF(MONTH(DATE(AnoCalendario,1,1)-WEEKDAY(DATE(AnoCalendario,1,1),2)+24)=1,DATE(AnoCalendario,1,1)-WEEKDAY(DATE(AnoCalendario,1,1),2)+24,"")</f>
        <v>46043</v>
      </c>
      <c r="E9" s="6">
        <f>IF(MONTH(DATE(AnoCalendario,1,1)-WEEKDAY(DATE(AnoCalendario,1,1),2)+25)=1,DATE(AnoCalendario,1,1)-WEEKDAY(DATE(AnoCalendario,1,1),2)+25,"")</f>
        <v>46044</v>
      </c>
      <c r="F9" s="6">
        <f>IF(MONTH(DATE(AnoCalendario,1,1)-WEEKDAY(DATE(AnoCalendario,1,1),2)+26)=1,DATE(AnoCalendario,1,1)-WEEKDAY(DATE(AnoCalendario,1,1),2)+26,"")</f>
        <v>46045</v>
      </c>
      <c r="G9" s="6">
        <f>IF(MONTH(DATE(AnoCalendario,1,1)-WEEKDAY(DATE(AnoCalendario,1,1),2)+27)=1,DATE(AnoCalendario,1,1)-WEEKDAY(DATE(AnoCalendario,1,1),2)+27,"")</f>
        <v>46046</v>
      </c>
      <c r="H9" s="6">
        <f>IF(MONTH(DATE(AnoCalendario,1,1)-WEEKDAY(DATE(AnoCalendario,1,1),2)+28)=1,DATE(AnoCalendario,1,1)-WEEKDAY(DATE(AnoCalendario,1,1),2)+28,"")</f>
        <v>46047</v>
      </c>
      <c r="J9" s="6">
        <f>IF(MONTH(DATE(AnoCalendario,2,1)-WEEKDAY(DATE(AnoCalendario,2,1),2)+22)=2,DATE(AnoCalendario,2,1)-WEEKDAY(DATE(AnoCalendario,2,1),2)+22,"")</f>
        <v>46069</v>
      </c>
      <c r="K9" s="6">
        <f>IF(MONTH(DATE(AnoCalendario,2,1)-WEEKDAY(DATE(AnoCalendario,2,1),2)+23)=2,DATE(AnoCalendario,2,1)-WEEKDAY(DATE(AnoCalendario,2,1),2)+23,"")</f>
        <v>46070</v>
      </c>
      <c r="L9" s="6">
        <f>IF(MONTH(DATE(AnoCalendario,2,1)-WEEKDAY(DATE(AnoCalendario,2,1),2)+24)=2,DATE(AnoCalendario,2,1)-WEEKDAY(DATE(AnoCalendario,2,1),2)+24,"")</f>
        <v>46071</v>
      </c>
      <c r="M9" s="6">
        <f>IF(MONTH(DATE(AnoCalendario,2,1)-WEEKDAY(DATE(AnoCalendario,2,1),2)+25)=2,DATE(AnoCalendario,2,1)-WEEKDAY(DATE(AnoCalendario,2,1),2)+25,"")</f>
        <v>46072</v>
      </c>
      <c r="N9" s="6">
        <f>IF(MONTH(DATE(AnoCalendario,2,1)-WEEKDAY(DATE(AnoCalendario,2,1),2)+26)=2,DATE(AnoCalendario,2,1)-WEEKDAY(DATE(AnoCalendario,2,1),2)+26,"")</f>
        <v>46073</v>
      </c>
      <c r="O9" s="6">
        <f>IF(MONTH(DATE(AnoCalendario,2,1)-WEEKDAY(DATE(AnoCalendario,2,1),2)+27)=2,DATE(AnoCalendario,2,1)-WEEKDAY(DATE(AnoCalendario,2,1),2)+27,"")</f>
        <v>46074</v>
      </c>
      <c r="P9" s="6">
        <f>IF(MONTH(DATE(AnoCalendario,2,1)-WEEKDAY(DATE(AnoCalendario,2,1),2)+28)=2,DATE(AnoCalendario,2,1)-WEEKDAY(DATE(AnoCalendario,2,1),2)+28,"")</f>
        <v>46075</v>
      </c>
      <c r="R9" s="6">
        <f>IF(MONTH(DATE(AnoCalendario,3,1)-WEEKDAY(DATE(AnoCalendario,3,1),2)+22)=3,DATE(AnoCalendario,3,1)-WEEKDAY(DATE(AnoCalendario,3,1),2)+22,"")</f>
        <v>46097</v>
      </c>
      <c r="S9" s="6">
        <f>IF(MONTH(DATE(AnoCalendario,3,1)-WEEKDAY(DATE(AnoCalendario,3,1),2)+23)=3,DATE(AnoCalendario,3,1)-WEEKDAY(DATE(AnoCalendario,3,1),2)+23,"")</f>
        <v>46098</v>
      </c>
      <c r="T9" s="6">
        <f>IF(MONTH(DATE(AnoCalendario,3,1)-WEEKDAY(DATE(AnoCalendario,3,1),2)+24)=3,DATE(AnoCalendario,3,1)-WEEKDAY(DATE(AnoCalendario,3,1),2)+24,"")</f>
        <v>46099</v>
      </c>
      <c r="U9" s="6">
        <f>IF(MONTH(DATE(AnoCalendario,3,1)-WEEKDAY(DATE(AnoCalendario,3,1),2)+25)=3,DATE(AnoCalendario,3,1)-WEEKDAY(DATE(AnoCalendario,3,1),2)+25,"")</f>
        <v>46100</v>
      </c>
      <c r="V9" s="6">
        <f>IF(MONTH(DATE(AnoCalendario,3,1)-WEEKDAY(DATE(AnoCalendario,3,1),2)+26)=3,DATE(AnoCalendario,3,1)-WEEKDAY(DATE(AnoCalendario,3,1),2)+26,"")</f>
        <v>46101</v>
      </c>
      <c r="W9" s="6">
        <f>IF(MONTH(DATE(AnoCalendario,3,1)-WEEKDAY(DATE(AnoCalendario,3,1),2)+27)=3,DATE(AnoCalendario,3,1)-WEEKDAY(DATE(AnoCalendario,3,1),2)+27,"")</f>
        <v>46102</v>
      </c>
      <c r="X9" s="6">
        <f>IF(MONTH(DATE(AnoCalendario,3,1)-WEEKDAY(DATE(AnoCalendario,3,1),2)+28)=3,DATE(AnoCalendario,3,1)-WEEKDAY(DATE(AnoCalendario,3,1),2)+28,"")</f>
        <v>46103</v>
      </c>
      <c r="Z9" s="9" t="str">
        <f>IF($AD9="","",INDEX(Eventos!$C$2:$C$999,$AD9)&amp;"")</f>
        <v/>
      </c>
      <c r="AA9" s="9" t="str">
        <f>IF($AD9="","",INDEX(Eventos!$D$2:$D$999,$AD9)&amp;"")</f>
        <v/>
      </c>
      <c r="AB9" s="10" t="str">
        <f>IF($AD9="","",IF(INDEX(Eventos!$F$2:$F$999,$AD9)="","",TEXT(INDEX(Eventos!$F$2:$F$999,$AD9),"hh:mm")))</f>
        <v/>
      </c>
      <c r="AC9" s="10" t="str">
        <f>IF($AD9="","",INDEX(Eventos!$H$2:$H$999,$AD9)&amp;"")</f>
        <v/>
      </c>
      <c r="AD9" s="11" t="str">
        <f>IFERROR(MATCH(INT($AA$5)&amp;"-2",Eventos!$L$2:$L$999,0),"")</f>
        <v/>
      </c>
    </row>
    <row r="10" spans="2:30" ht="16.5" customHeight="1" x14ac:dyDescent="0.3">
      <c r="B10" s="6">
        <f>IF(MONTH(DATE(AnoCalendario,1,1)-WEEKDAY(DATE(AnoCalendario,1,1),2)+29)=1,DATE(AnoCalendario,1,1)-WEEKDAY(DATE(AnoCalendario,1,1),2)+29,"")</f>
        <v>46048</v>
      </c>
      <c r="C10" s="6">
        <f>IF(MONTH(DATE(AnoCalendario,1,1)-WEEKDAY(DATE(AnoCalendario,1,1),2)+30)=1,DATE(AnoCalendario,1,1)-WEEKDAY(DATE(AnoCalendario,1,1),2)+30,"")</f>
        <v>46049</v>
      </c>
      <c r="D10" s="6">
        <f>IF(MONTH(DATE(AnoCalendario,1,1)-WEEKDAY(DATE(AnoCalendario,1,1),2)+31)=1,DATE(AnoCalendario,1,1)-WEEKDAY(DATE(AnoCalendario,1,1),2)+31,"")</f>
        <v>46050</v>
      </c>
      <c r="E10" s="6">
        <f>IF(MONTH(DATE(AnoCalendario,1,1)-WEEKDAY(DATE(AnoCalendario,1,1),2)+32)=1,DATE(AnoCalendario,1,1)-WEEKDAY(DATE(AnoCalendario,1,1),2)+32,"")</f>
        <v>46051</v>
      </c>
      <c r="F10" s="6">
        <f>IF(MONTH(DATE(AnoCalendario,1,1)-WEEKDAY(DATE(AnoCalendario,1,1),2)+33)=1,DATE(AnoCalendario,1,1)-WEEKDAY(DATE(AnoCalendario,1,1),2)+33,"")</f>
        <v>46052</v>
      </c>
      <c r="G10" s="6">
        <f>IF(MONTH(DATE(AnoCalendario,1,1)-WEEKDAY(DATE(AnoCalendario,1,1),2)+34)=1,DATE(AnoCalendario,1,1)-WEEKDAY(DATE(AnoCalendario,1,1),2)+34,"")</f>
        <v>46053</v>
      </c>
      <c r="H10" s="6" t="str">
        <f>IF(MONTH(DATE(AnoCalendario,1,1)-WEEKDAY(DATE(AnoCalendario,1,1),2)+35)=1,DATE(AnoCalendario,1,1)-WEEKDAY(DATE(AnoCalendario,1,1),2)+35,"")</f>
        <v/>
      </c>
      <c r="J10" s="6">
        <f>IF(MONTH(DATE(AnoCalendario,2,1)-WEEKDAY(DATE(AnoCalendario,2,1),2)+29)=2,DATE(AnoCalendario,2,1)-WEEKDAY(DATE(AnoCalendario,2,1),2)+29,"")</f>
        <v>46076</v>
      </c>
      <c r="K10" s="6">
        <f>IF(MONTH(DATE(AnoCalendario,2,1)-WEEKDAY(DATE(AnoCalendario,2,1),2)+30)=2,DATE(AnoCalendario,2,1)-WEEKDAY(DATE(AnoCalendario,2,1),2)+30,"")</f>
        <v>46077</v>
      </c>
      <c r="L10" s="6">
        <f>IF(MONTH(DATE(AnoCalendario,2,1)-WEEKDAY(DATE(AnoCalendario,2,1),2)+31)=2,DATE(AnoCalendario,2,1)-WEEKDAY(DATE(AnoCalendario,2,1),2)+31,"")</f>
        <v>46078</v>
      </c>
      <c r="M10" s="6">
        <f>IF(MONTH(DATE(AnoCalendario,2,1)-WEEKDAY(DATE(AnoCalendario,2,1),2)+32)=2,DATE(AnoCalendario,2,1)-WEEKDAY(DATE(AnoCalendario,2,1),2)+32,"")</f>
        <v>46079</v>
      </c>
      <c r="N10" s="6">
        <f>IF(MONTH(DATE(AnoCalendario,2,1)-WEEKDAY(DATE(AnoCalendario,2,1),2)+33)=2,DATE(AnoCalendario,2,1)-WEEKDAY(DATE(AnoCalendario,2,1),2)+33,"")</f>
        <v>46080</v>
      </c>
      <c r="O10" s="6">
        <f>IF(MONTH(DATE(AnoCalendario,2,1)-WEEKDAY(DATE(AnoCalendario,2,1),2)+34)=2,DATE(AnoCalendario,2,1)-WEEKDAY(DATE(AnoCalendario,2,1),2)+34,"")</f>
        <v>46081</v>
      </c>
      <c r="P10" s="6" t="str">
        <f>IF(MONTH(DATE(AnoCalendario,2,1)-WEEKDAY(DATE(AnoCalendario,2,1),2)+35)=2,DATE(AnoCalendario,2,1)-WEEKDAY(DATE(AnoCalendario,2,1),2)+35,"")</f>
        <v/>
      </c>
      <c r="R10" s="6">
        <f>IF(MONTH(DATE(AnoCalendario,3,1)-WEEKDAY(DATE(AnoCalendario,3,1),2)+29)=3,DATE(AnoCalendario,3,1)-WEEKDAY(DATE(AnoCalendario,3,1),2)+29,"")</f>
        <v>46104</v>
      </c>
      <c r="S10" s="6">
        <f>IF(MONTH(DATE(AnoCalendario,3,1)-WEEKDAY(DATE(AnoCalendario,3,1),2)+30)=3,DATE(AnoCalendario,3,1)-WEEKDAY(DATE(AnoCalendario,3,1),2)+30,"")</f>
        <v>46105</v>
      </c>
      <c r="T10" s="6">
        <f>IF(MONTH(DATE(AnoCalendario,3,1)-WEEKDAY(DATE(AnoCalendario,3,1),2)+31)=3,DATE(AnoCalendario,3,1)-WEEKDAY(DATE(AnoCalendario,3,1),2)+31,"")</f>
        <v>46106</v>
      </c>
      <c r="U10" s="6">
        <f>IF(MONTH(DATE(AnoCalendario,3,1)-WEEKDAY(DATE(AnoCalendario,3,1),2)+32)=3,DATE(AnoCalendario,3,1)-WEEKDAY(DATE(AnoCalendario,3,1),2)+32,"")</f>
        <v>46107</v>
      </c>
      <c r="V10" s="6">
        <f>IF(MONTH(DATE(AnoCalendario,3,1)-WEEKDAY(DATE(AnoCalendario,3,1),2)+33)=3,DATE(AnoCalendario,3,1)-WEEKDAY(DATE(AnoCalendario,3,1),2)+33,"")</f>
        <v>46108</v>
      </c>
      <c r="W10" s="6">
        <f>IF(MONTH(DATE(AnoCalendario,3,1)-WEEKDAY(DATE(AnoCalendario,3,1),2)+34)=3,DATE(AnoCalendario,3,1)-WEEKDAY(DATE(AnoCalendario,3,1),2)+34,"")</f>
        <v>46109</v>
      </c>
      <c r="X10" s="6">
        <f>IF(MONTH(DATE(AnoCalendario,3,1)-WEEKDAY(DATE(AnoCalendario,3,1),2)+35)=3,DATE(AnoCalendario,3,1)-WEEKDAY(DATE(AnoCalendario,3,1),2)+35,"")</f>
        <v>46110</v>
      </c>
      <c r="Z10" s="9" t="str">
        <f>IF($AD10="","",INDEX(Eventos!$C$2:$C$999,$AD10)&amp;"")</f>
        <v/>
      </c>
      <c r="AA10" s="9" t="str">
        <f>IF($AD10="","",INDEX(Eventos!$D$2:$D$999,$AD10)&amp;"")</f>
        <v/>
      </c>
      <c r="AB10" s="10" t="str">
        <f>IF($AD10="","",IF(INDEX(Eventos!$F$2:$F$999,$AD10)="","",TEXT(INDEX(Eventos!$F$2:$F$999,$AD10),"hh:mm")))</f>
        <v/>
      </c>
      <c r="AC10" s="10" t="str">
        <f>IF($AD10="","",INDEX(Eventos!$H$2:$H$999,$AD10)&amp;"")</f>
        <v/>
      </c>
      <c r="AD10" s="11" t="str">
        <f>IFERROR(MATCH(INT($AA$5)&amp;"-3",Eventos!$L$2:$L$999,0),"")</f>
        <v/>
      </c>
    </row>
    <row r="11" spans="2:30" ht="16.5" customHeight="1" x14ac:dyDescent="0.3">
      <c r="B11" s="6" t="str">
        <f>IF(MONTH(DATE(AnoCalendario,1,1)-WEEKDAY(DATE(AnoCalendario,1,1),2)+36)=1,DATE(AnoCalendario,1,1)-WEEKDAY(DATE(AnoCalendario,1,1),2)+36,"")</f>
        <v/>
      </c>
      <c r="C11" s="6" t="str">
        <f>IF(MONTH(DATE(AnoCalendario,1,1)-WEEKDAY(DATE(AnoCalendario,1,1),2)+37)=1,DATE(AnoCalendario,1,1)-WEEKDAY(DATE(AnoCalendario,1,1),2)+37,"")</f>
        <v/>
      </c>
      <c r="D11" s="6" t="str">
        <f>IF(MONTH(DATE(AnoCalendario,1,1)-WEEKDAY(DATE(AnoCalendario,1,1),2)+38)=1,DATE(AnoCalendario,1,1)-WEEKDAY(DATE(AnoCalendario,1,1),2)+38,"")</f>
        <v/>
      </c>
      <c r="E11" s="6" t="str">
        <f>IF(MONTH(DATE(AnoCalendario,1,1)-WEEKDAY(DATE(AnoCalendario,1,1),2)+39)=1,DATE(AnoCalendario,1,1)-WEEKDAY(DATE(AnoCalendario,1,1),2)+39,"")</f>
        <v/>
      </c>
      <c r="F11" s="6" t="str">
        <f>IF(MONTH(DATE(AnoCalendario,1,1)-WEEKDAY(DATE(AnoCalendario,1,1),2)+40)=1,DATE(AnoCalendario,1,1)-WEEKDAY(DATE(AnoCalendario,1,1),2)+40,"")</f>
        <v/>
      </c>
      <c r="G11" s="6" t="str">
        <f>IF(MONTH(DATE(AnoCalendario,1,1)-WEEKDAY(DATE(AnoCalendario,1,1),2)+41)=1,DATE(AnoCalendario,1,1)-WEEKDAY(DATE(AnoCalendario,1,1),2)+41,"")</f>
        <v/>
      </c>
      <c r="H11" s="6" t="str">
        <f>IF(MONTH(DATE(AnoCalendario,1,1)-WEEKDAY(DATE(AnoCalendario,1,1),2)+42)=1,DATE(AnoCalendario,1,1)-WEEKDAY(DATE(AnoCalendario,1,1),2)+42,"")</f>
        <v/>
      </c>
      <c r="J11" s="6" t="str">
        <f>IF(MONTH(DATE(AnoCalendario,2,1)-WEEKDAY(DATE(AnoCalendario,2,1),2)+36)=2,DATE(AnoCalendario,2,1)-WEEKDAY(DATE(AnoCalendario,2,1),2)+36,"")</f>
        <v/>
      </c>
      <c r="K11" s="6" t="str">
        <f>IF(MONTH(DATE(AnoCalendario,2,1)-WEEKDAY(DATE(AnoCalendario,2,1),2)+37)=2,DATE(AnoCalendario,2,1)-WEEKDAY(DATE(AnoCalendario,2,1),2)+37,"")</f>
        <v/>
      </c>
      <c r="L11" s="6" t="str">
        <f>IF(MONTH(DATE(AnoCalendario,2,1)-WEEKDAY(DATE(AnoCalendario,2,1),2)+38)=2,DATE(AnoCalendario,2,1)-WEEKDAY(DATE(AnoCalendario,2,1),2)+38,"")</f>
        <v/>
      </c>
      <c r="M11" s="6" t="str">
        <f>IF(MONTH(DATE(AnoCalendario,2,1)-WEEKDAY(DATE(AnoCalendario,2,1),2)+39)=2,DATE(AnoCalendario,2,1)-WEEKDAY(DATE(AnoCalendario,2,1),2)+39,"")</f>
        <v/>
      </c>
      <c r="N11" s="6" t="str">
        <f>IF(MONTH(DATE(AnoCalendario,2,1)-WEEKDAY(DATE(AnoCalendario,2,1),2)+40)=2,DATE(AnoCalendario,2,1)-WEEKDAY(DATE(AnoCalendario,2,1),2)+40,"")</f>
        <v/>
      </c>
      <c r="O11" s="6" t="str">
        <f>IF(MONTH(DATE(AnoCalendario,2,1)-WEEKDAY(DATE(AnoCalendario,2,1),2)+41)=2,DATE(AnoCalendario,2,1)-WEEKDAY(DATE(AnoCalendario,2,1),2)+41,"")</f>
        <v/>
      </c>
      <c r="P11" s="6" t="str">
        <f>IF(MONTH(DATE(AnoCalendario,2,1)-WEEKDAY(DATE(AnoCalendario,2,1),2)+42)=2,DATE(AnoCalendario,2,1)-WEEKDAY(DATE(AnoCalendario,2,1),2)+42,"")</f>
        <v/>
      </c>
      <c r="R11" s="6">
        <f>IF(MONTH(DATE(AnoCalendario,3,1)-WEEKDAY(DATE(AnoCalendario,3,1),2)+36)=3,DATE(AnoCalendario,3,1)-WEEKDAY(DATE(AnoCalendario,3,1),2)+36,"")</f>
        <v>46111</v>
      </c>
      <c r="S11" s="6">
        <f>IF(MONTH(DATE(AnoCalendario,3,1)-WEEKDAY(DATE(AnoCalendario,3,1),2)+37)=3,DATE(AnoCalendario,3,1)-WEEKDAY(DATE(AnoCalendario,3,1),2)+37,"")</f>
        <v>46112</v>
      </c>
      <c r="T11" s="6" t="str">
        <f>IF(MONTH(DATE(AnoCalendario,3,1)-WEEKDAY(DATE(AnoCalendario,3,1),2)+38)=3,DATE(AnoCalendario,3,1)-WEEKDAY(DATE(AnoCalendario,3,1),2)+38,"")</f>
        <v/>
      </c>
      <c r="U11" s="6" t="str">
        <f>IF(MONTH(DATE(AnoCalendario,3,1)-WEEKDAY(DATE(AnoCalendario,3,1),2)+39)=3,DATE(AnoCalendario,3,1)-WEEKDAY(DATE(AnoCalendario,3,1),2)+39,"")</f>
        <v/>
      </c>
      <c r="V11" s="6" t="str">
        <f>IF(MONTH(DATE(AnoCalendario,3,1)-WEEKDAY(DATE(AnoCalendario,3,1),2)+40)=3,DATE(AnoCalendario,3,1)-WEEKDAY(DATE(AnoCalendario,3,1),2)+40,"")</f>
        <v/>
      </c>
      <c r="W11" s="6" t="str">
        <f>IF(MONTH(DATE(AnoCalendario,3,1)-WEEKDAY(DATE(AnoCalendario,3,1),2)+41)=3,DATE(AnoCalendario,3,1)-WEEKDAY(DATE(AnoCalendario,3,1),2)+41,"")</f>
        <v/>
      </c>
      <c r="X11" s="6" t="str">
        <f>IF(MONTH(DATE(AnoCalendario,3,1)-WEEKDAY(DATE(AnoCalendario,3,1),2)+42)=3,DATE(AnoCalendario,3,1)-WEEKDAY(DATE(AnoCalendario,3,1),2)+42,"")</f>
        <v/>
      </c>
      <c r="Z11" s="9" t="str">
        <f>IF($AD11="","",INDEX(Eventos!$C$2:$C$999,$AD11)&amp;"")</f>
        <v/>
      </c>
      <c r="AA11" s="9" t="str">
        <f>IF($AD11="","",INDEX(Eventos!$D$2:$D$999,$AD11)&amp;"")</f>
        <v/>
      </c>
      <c r="AB11" s="10" t="str">
        <f>IF($AD11="","",IF(INDEX(Eventos!$F$2:$F$999,$AD11)="","",TEXT(INDEX(Eventos!$F$2:$F$999,$AD11),"hh:mm")))</f>
        <v/>
      </c>
      <c r="AC11" s="10" t="str">
        <f>IF($AD11="","",INDEX(Eventos!$H$2:$H$999,$AD11)&amp;"")</f>
        <v/>
      </c>
      <c r="AD11" s="11" t="str">
        <f>IFERROR(MATCH(INT($AA$5)&amp;"-4",Eventos!$L$2:$L$999,0),"")</f>
        <v/>
      </c>
    </row>
    <row r="12" spans="2:30" ht="12.75" customHeight="1" x14ac:dyDescent="0.3">
      <c r="B12" s="36" t="str">
        <f>"Eventos: "&amp;COUNTIFS(Eventos!$A$2:$A$999,"&gt;="&amp;DATE(AnoCalendario,1,1),Eventos!$A$2:$A$999,"&lt;"&amp;DATE(AnoCalendario,2,1),Eventos!$H$2:$H$999,"&lt;&gt;Cancelado")</f>
        <v>Eventos: 0</v>
      </c>
      <c r="C12" s="36"/>
      <c r="D12" s="36"/>
      <c r="E12" s="36"/>
      <c r="F12" s="36"/>
      <c r="G12" s="36"/>
      <c r="H12" s="36"/>
      <c r="J12" s="36" t="str">
        <f>"Eventos: "&amp;COUNTIFS(Eventos!$A$2:$A$999,"&gt;="&amp;DATE(AnoCalendario,2,1),Eventos!$A$2:$A$999,"&lt;"&amp;DATE(AnoCalendario,3,1),Eventos!$H$2:$H$999,"&lt;&gt;Cancelado")</f>
        <v>Eventos: 0</v>
      </c>
      <c r="K12" s="36"/>
      <c r="L12" s="36"/>
      <c r="M12" s="36"/>
      <c r="N12" s="36"/>
      <c r="O12" s="36"/>
      <c r="P12" s="36"/>
      <c r="R12" s="36" t="str">
        <f>"Eventos: "&amp;COUNTIFS(Eventos!$A$2:$A$999,"&gt;="&amp;DATE(AnoCalendario,3,1),Eventos!$A$2:$A$999,"&lt;"&amp;DATE(AnoCalendario,4,1),Eventos!$H$2:$H$999,"&lt;&gt;Cancelado")</f>
        <v>Eventos: 0</v>
      </c>
      <c r="S12" s="36"/>
      <c r="T12" s="36"/>
      <c r="U12" s="36"/>
      <c r="V12" s="36"/>
      <c r="W12" s="36"/>
      <c r="X12" s="36"/>
      <c r="Z12" s="38" t="str">
        <f>IF(AA6&gt;4,"+ "&amp;(AA6-4)&amp;" evento(s) — ver folha Eventos","")</f>
        <v/>
      </c>
      <c r="AA12" s="38"/>
      <c r="AB12" s="38"/>
      <c r="AC12" s="38"/>
    </row>
    <row r="13" spans="2:30" ht="7.5" customHeight="1" x14ac:dyDescent="0.3">
      <c r="Z13" s="37" t="s">
        <v>19</v>
      </c>
      <c r="AA13" s="37"/>
      <c r="AB13" s="37"/>
      <c r="AC13" s="37"/>
    </row>
    <row r="14" spans="2:30" ht="18" customHeight="1" x14ac:dyDescent="0.3">
      <c r="B14" s="35" t="str">
        <f>"Abril "&amp;AnoCalendario</f>
        <v>Abril 2026</v>
      </c>
      <c r="C14" s="35"/>
      <c r="D14" s="35"/>
      <c r="E14" s="35"/>
      <c r="F14" s="35"/>
      <c r="G14" s="35"/>
      <c r="H14" s="35"/>
      <c r="J14" s="35" t="str">
        <f>"Maio "&amp;AnoCalendario</f>
        <v>Maio 2026</v>
      </c>
      <c r="K14" s="35"/>
      <c r="L14" s="35"/>
      <c r="M14" s="35"/>
      <c r="N14" s="35"/>
      <c r="O14" s="35"/>
      <c r="P14" s="35"/>
      <c r="R14" s="35" t="str">
        <f>"Junho "&amp;AnoCalendario</f>
        <v>Junho 2026</v>
      </c>
      <c r="S14" s="35"/>
      <c r="T14" s="35"/>
      <c r="U14" s="35"/>
      <c r="V14" s="35"/>
      <c r="W14" s="35"/>
      <c r="X14" s="35"/>
    </row>
    <row r="15" spans="2:30" ht="15" customHeight="1" x14ac:dyDescent="0.3">
      <c r="B15" s="3" t="s">
        <v>5</v>
      </c>
      <c r="C15" s="3" t="s">
        <v>6</v>
      </c>
      <c r="D15" s="3" t="s">
        <v>7</v>
      </c>
      <c r="E15" s="3" t="s">
        <v>8</v>
      </c>
      <c r="F15" s="3" t="s">
        <v>9</v>
      </c>
      <c r="G15" s="4" t="s">
        <v>10</v>
      </c>
      <c r="H15" s="4" t="s">
        <v>11</v>
      </c>
      <c r="J15" s="3" t="s">
        <v>5</v>
      </c>
      <c r="K15" s="3" t="s">
        <v>6</v>
      </c>
      <c r="L15" s="3" t="s">
        <v>7</v>
      </c>
      <c r="M15" s="3" t="s">
        <v>8</v>
      </c>
      <c r="N15" s="3" t="s">
        <v>9</v>
      </c>
      <c r="O15" s="4" t="s">
        <v>10</v>
      </c>
      <c r="P15" s="4" t="s">
        <v>11</v>
      </c>
      <c r="R15" s="3" t="s">
        <v>5</v>
      </c>
      <c r="S15" s="3" t="s">
        <v>6</v>
      </c>
      <c r="T15" s="3" t="s">
        <v>7</v>
      </c>
      <c r="U15" s="3" t="s">
        <v>8</v>
      </c>
      <c r="V15" s="3" t="s">
        <v>9</v>
      </c>
      <c r="W15" s="4" t="s">
        <v>10</v>
      </c>
      <c r="X15" s="4" t="s">
        <v>11</v>
      </c>
    </row>
    <row r="16" spans="2:30" ht="16.5" customHeight="1" x14ac:dyDescent="0.3">
      <c r="B16" s="6" t="str">
        <f>IF(MONTH(DATE(AnoCalendario,4,1)-WEEKDAY(DATE(AnoCalendario,4,1),2)+1)=4,DATE(AnoCalendario,4,1)-WEEKDAY(DATE(AnoCalendario,4,1),2)+1,"")</f>
        <v/>
      </c>
      <c r="C16" s="6" t="str">
        <f>IF(MONTH(DATE(AnoCalendario,4,1)-WEEKDAY(DATE(AnoCalendario,4,1),2)+2)=4,DATE(AnoCalendario,4,1)-WEEKDAY(DATE(AnoCalendario,4,1),2)+2,"")</f>
        <v/>
      </c>
      <c r="D16" s="6">
        <f>IF(MONTH(DATE(AnoCalendario,4,1)-WEEKDAY(DATE(AnoCalendario,4,1),2)+3)=4,DATE(AnoCalendario,4,1)-WEEKDAY(DATE(AnoCalendario,4,1),2)+3,"")</f>
        <v>46113</v>
      </c>
      <c r="E16" s="6">
        <f>IF(MONTH(DATE(AnoCalendario,4,1)-WEEKDAY(DATE(AnoCalendario,4,1),2)+4)=4,DATE(AnoCalendario,4,1)-WEEKDAY(DATE(AnoCalendario,4,1),2)+4,"")</f>
        <v>46114</v>
      </c>
      <c r="F16" s="6">
        <f>IF(MONTH(DATE(AnoCalendario,4,1)-WEEKDAY(DATE(AnoCalendario,4,1),2)+5)=4,DATE(AnoCalendario,4,1)-WEEKDAY(DATE(AnoCalendario,4,1),2)+5,"")</f>
        <v>46115</v>
      </c>
      <c r="G16" s="6">
        <f>IF(MONTH(DATE(AnoCalendario,4,1)-WEEKDAY(DATE(AnoCalendario,4,1),2)+6)=4,DATE(AnoCalendario,4,1)-WEEKDAY(DATE(AnoCalendario,4,1),2)+6,"")</f>
        <v>46116</v>
      </c>
      <c r="H16" s="6">
        <f>IF(MONTH(DATE(AnoCalendario,4,1)-WEEKDAY(DATE(AnoCalendario,4,1),2)+7)=4,DATE(AnoCalendario,4,1)-WEEKDAY(DATE(AnoCalendario,4,1),2)+7,"")</f>
        <v>46117</v>
      </c>
      <c r="J16" s="6" t="str">
        <f>IF(MONTH(DATE(AnoCalendario,5,1)-WEEKDAY(DATE(AnoCalendario,5,1),2)+1)=5,DATE(AnoCalendario,5,1)-WEEKDAY(DATE(AnoCalendario,5,1),2)+1,"")</f>
        <v/>
      </c>
      <c r="K16" s="6" t="str">
        <f>IF(MONTH(DATE(AnoCalendario,5,1)-WEEKDAY(DATE(AnoCalendario,5,1),2)+2)=5,DATE(AnoCalendario,5,1)-WEEKDAY(DATE(AnoCalendario,5,1),2)+2,"")</f>
        <v/>
      </c>
      <c r="L16" s="6" t="str">
        <f>IF(MONTH(DATE(AnoCalendario,5,1)-WEEKDAY(DATE(AnoCalendario,5,1),2)+3)=5,DATE(AnoCalendario,5,1)-WEEKDAY(DATE(AnoCalendario,5,1),2)+3,"")</f>
        <v/>
      </c>
      <c r="M16" s="6" t="str">
        <f>IF(MONTH(DATE(AnoCalendario,5,1)-WEEKDAY(DATE(AnoCalendario,5,1),2)+4)=5,DATE(AnoCalendario,5,1)-WEEKDAY(DATE(AnoCalendario,5,1),2)+4,"")</f>
        <v/>
      </c>
      <c r="N16" s="6">
        <f>IF(MONTH(DATE(AnoCalendario,5,1)-WEEKDAY(DATE(AnoCalendario,5,1),2)+5)=5,DATE(AnoCalendario,5,1)-WEEKDAY(DATE(AnoCalendario,5,1),2)+5,"")</f>
        <v>46143</v>
      </c>
      <c r="O16" s="6">
        <f>IF(MONTH(DATE(AnoCalendario,5,1)-WEEKDAY(DATE(AnoCalendario,5,1),2)+6)=5,DATE(AnoCalendario,5,1)-WEEKDAY(DATE(AnoCalendario,5,1),2)+6,"")</f>
        <v>46144</v>
      </c>
      <c r="P16" s="6">
        <f>IF(MONTH(DATE(AnoCalendario,5,1)-WEEKDAY(DATE(AnoCalendario,5,1),2)+7)=5,DATE(AnoCalendario,5,1)-WEEKDAY(DATE(AnoCalendario,5,1),2)+7,"")</f>
        <v>46145</v>
      </c>
      <c r="R16" s="6">
        <f>IF(MONTH(DATE(AnoCalendario,6,1)-WEEKDAY(DATE(AnoCalendario,6,1),2)+1)=6,DATE(AnoCalendario,6,1)-WEEKDAY(DATE(AnoCalendario,6,1),2)+1,"")</f>
        <v>46174</v>
      </c>
      <c r="S16" s="6">
        <f>IF(MONTH(DATE(AnoCalendario,6,1)-WEEKDAY(DATE(AnoCalendario,6,1),2)+2)=6,DATE(AnoCalendario,6,1)-WEEKDAY(DATE(AnoCalendario,6,1),2)+2,"")</f>
        <v>46175</v>
      </c>
      <c r="T16" s="6">
        <f>IF(MONTH(DATE(AnoCalendario,6,1)-WEEKDAY(DATE(AnoCalendario,6,1),2)+3)=6,DATE(AnoCalendario,6,1)-WEEKDAY(DATE(AnoCalendario,6,1),2)+3,"")</f>
        <v>46176</v>
      </c>
      <c r="U16" s="6">
        <f>IF(MONTH(DATE(AnoCalendario,6,1)-WEEKDAY(DATE(AnoCalendario,6,1),2)+4)=6,DATE(AnoCalendario,6,1)-WEEKDAY(DATE(AnoCalendario,6,1),2)+4,"")</f>
        <v>46177</v>
      </c>
      <c r="V16" s="6">
        <f>IF(MONTH(DATE(AnoCalendario,6,1)-WEEKDAY(DATE(AnoCalendario,6,1),2)+5)=6,DATE(AnoCalendario,6,1)-WEEKDAY(DATE(AnoCalendario,6,1),2)+5,"")</f>
        <v>46178</v>
      </c>
      <c r="W16" s="6">
        <f>IF(MONTH(DATE(AnoCalendario,6,1)-WEEKDAY(DATE(AnoCalendario,6,1),2)+6)=6,DATE(AnoCalendario,6,1)-WEEKDAY(DATE(AnoCalendario,6,1),2)+6,"")</f>
        <v>46179</v>
      </c>
      <c r="X16" s="6">
        <f>IF(MONTH(DATE(AnoCalendario,6,1)-WEEKDAY(DATE(AnoCalendario,6,1),2)+7)=6,DATE(AnoCalendario,6,1)-WEEKDAY(DATE(AnoCalendario,6,1),2)+7,"")</f>
        <v>46180</v>
      </c>
    </row>
    <row r="17" spans="2:24" ht="16.5" customHeight="1" x14ac:dyDescent="0.3">
      <c r="B17" s="6">
        <f>IF(MONTH(DATE(AnoCalendario,4,1)-WEEKDAY(DATE(AnoCalendario,4,1),2)+8)=4,DATE(AnoCalendario,4,1)-WEEKDAY(DATE(AnoCalendario,4,1),2)+8,"")</f>
        <v>46118</v>
      </c>
      <c r="C17" s="6">
        <f>IF(MONTH(DATE(AnoCalendario,4,1)-WEEKDAY(DATE(AnoCalendario,4,1),2)+9)=4,DATE(AnoCalendario,4,1)-WEEKDAY(DATE(AnoCalendario,4,1),2)+9,"")</f>
        <v>46119</v>
      </c>
      <c r="D17" s="6">
        <f>IF(MONTH(DATE(AnoCalendario,4,1)-WEEKDAY(DATE(AnoCalendario,4,1),2)+10)=4,DATE(AnoCalendario,4,1)-WEEKDAY(DATE(AnoCalendario,4,1),2)+10,"")</f>
        <v>46120</v>
      </c>
      <c r="E17" s="6">
        <f>IF(MONTH(DATE(AnoCalendario,4,1)-WEEKDAY(DATE(AnoCalendario,4,1),2)+11)=4,DATE(AnoCalendario,4,1)-WEEKDAY(DATE(AnoCalendario,4,1),2)+11,"")</f>
        <v>46121</v>
      </c>
      <c r="F17" s="6">
        <f>IF(MONTH(DATE(AnoCalendario,4,1)-WEEKDAY(DATE(AnoCalendario,4,1),2)+12)=4,DATE(AnoCalendario,4,1)-WEEKDAY(DATE(AnoCalendario,4,1),2)+12,"")</f>
        <v>46122</v>
      </c>
      <c r="G17" s="6">
        <f>IF(MONTH(DATE(AnoCalendario,4,1)-WEEKDAY(DATE(AnoCalendario,4,1),2)+13)=4,DATE(AnoCalendario,4,1)-WEEKDAY(DATE(AnoCalendario,4,1),2)+13,"")</f>
        <v>46123</v>
      </c>
      <c r="H17" s="6">
        <f>IF(MONTH(DATE(AnoCalendario,4,1)-WEEKDAY(DATE(AnoCalendario,4,1),2)+14)=4,DATE(AnoCalendario,4,1)-WEEKDAY(DATE(AnoCalendario,4,1),2)+14,"")</f>
        <v>46124</v>
      </c>
      <c r="J17" s="6">
        <f>IF(MONTH(DATE(AnoCalendario,5,1)-WEEKDAY(DATE(AnoCalendario,5,1),2)+8)=5,DATE(AnoCalendario,5,1)-WEEKDAY(DATE(AnoCalendario,5,1),2)+8,"")</f>
        <v>46146</v>
      </c>
      <c r="K17" s="6">
        <f>IF(MONTH(DATE(AnoCalendario,5,1)-WEEKDAY(DATE(AnoCalendario,5,1),2)+9)=5,DATE(AnoCalendario,5,1)-WEEKDAY(DATE(AnoCalendario,5,1),2)+9,"")</f>
        <v>46147</v>
      </c>
      <c r="L17" s="6">
        <f>IF(MONTH(DATE(AnoCalendario,5,1)-WEEKDAY(DATE(AnoCalendario,5,1),2)+10)=5,DATE(AnoCalendario,5,1)-WEEKDAY(DATE(AnoCalendario,5,1),2)+10,"")</f>
        <v>46148</v>
      </c>
      <c r="M17" s="6">
        <f>IF(MONTH(DATE(AnoCalendario,5,1)-WEEKDAY(DATE(AnoCalendario,5,1),2)+11)=5,DATE(AnoCalendario,5,1)-WEEKDAY(DATE(AnoCalendario,5,1),2)+11,"")</f>
        <v>46149</v>
      </c>
      <c r="N17" s="6">
        <f>IF(MONTH(DATE(AnoCalendario,5,1)-WEEKDAY(DATE(AnoCalendario,5,1),2)+12)=5,DATE(AnoCalendario,5,1)-WEEKDAY(DATE(AnoCalendario,5,1),2)+12,"")</f>
        <v>46150</v>
      </c>
      <c r="O17" s="6">
        <f>IF(MONTH(DATE(AnoCalendario,5,1)-WEEKDAY(DATE(AnoCalendario,5,1),2)+13)=5,DATE(AnoCalendario,5,1)-WEEKDAY(DATE(AnoCalendario,5,1),2)+13,"")</f>
        <v>46151</v>
      </c>
      <c r="P17" s="6">
        <f>IF(MONTH(DATE(AnoCalendario,5,1)-WEEKDAY(DATE(AnoCalendario,5,1),2)+14)=5,DATE(AnoCalendario,5,1)-WEEKDAY(DATE(AnoCalendario,5,1),2)+14,"")</f>
        <v>46152</v>
      </c>
      <c r="R17" s="6">
        <f>IF(MONTH(DATE(AnoCalendario,6,1)-WEEKDAY(DATE(AnoCalendario,6,1),2)+8)=6,DATE(AnoCalendario,6,1)-WEEKDAY(DATE(AnoCalendario,6,1),2)+8,"")</f>
        <v>46181</v>
      </c>
      <c r="S17" s="6">
        <f>IF(MONTH(DATE(AnoCalendario,6,1)-WEEKDAY(DATE(AnoCalendario,6,1),2)+9)=6,DATE(AnoCalendario,6,1)-WEEKDAY(DATE(AnoCalendario,6,1),2)+9,"")</f>
        <v>46182</v>
      </c>
      <c r="T17" s="6">
        <f>IF(MONTH(DATE(AnoCalendario,6,1)-WEEKDAY(DATE(AnoCalendario,6,1),2)+10)=6,DATE(AnoCalendario,6,1)-WEEKDAY(DATE(AnoCalendario,6,1),2)+10,"")</f>
        <v>46183</v>
      </c>
      <c r="U17" s="6">
        <f>IF(MONTH(DATE(AnoCalendario,6,1)-WEEKDAY(DATE(AnoCalendario,6,1),2)+11)=6,DATE(AnoCalendario,6,1)-WEEKDAY(DATE(AnoCalendario,6,1),2)+11,"")</f>
        <v>46184</v>
      </c>
      <c r="V17" s="6">
        <f>IF(MONTH(DATE(AnoCalendario,6,1)-WEEKDAY(DATE(AnoCalendario,6,1),2)+12)=6,DATE(AnoCalendario,6,1)-WEEKDAY(DATE(AnoCalendario,6,1),2)+12,"")</f>
        <v>46185</v>
      </c>
      <c r="W17" s="6">
        <f>IF(MONTH(DATE(AnoCalendario,6,1)-WEEKDAY(DATE(AnoCalendario,6,1),2)+13)=6,DATE(AnoCalendario,6,1)-WEEKDAY(DATE(AnoCalendario,6,1),2)+13,"")</f>
        <v>46186</v>
      </c>
      <c r="X17" s="6">
        <f>IF(MONTH(DATE(AnoCalendario,6,1)-WEEKDAY(DATE(AnoCalendario,6,1),2)+14)=6,DATE(AnoCalendario,6,1)-WEEKDAY(DATE(AnoCalendario,6,1),2)+14,"")</f>
        <v>46187</v>
      </c>
    </row>
    <row r="18" spans="2:24" ht="16.5" customHeight="1" x14ac:dyDescent="0.3">
      <c r="B18" s="6">
        <f>IF(MONTH(DATE(AnoCalendario,4,1)-WEEKDAY(DATE(AnoCalendario,4,1),2)+15)=4,DATE(AnoCalendario,4,1)-WEEKDAY(DATE(AnoCalendario,4,1),2)+15,"")</f>
        <v>46125</v>
      </c>
      <c r="C18" s="6">
        <f>IF(MONTH(DATE(AnoCalendario,4,1)-WEEKDAY(DATE(AnoCalendario,4,1),2)+16)=4,DATE(AnoCalendario,4,1)-WEEKDAY(DATE(AnoCalendario,4,1),2)+16,"")</f>
        <v>46126</v>
      </c>
      <c r="D18" s="6">
        <f>IF(MONTH(DATE(AnoCalendario,4,1)-WEEKDAY(DATE(AnoCalendario,4,1),2)+17)=4,DATE(AnoCalendario,4,1)-WEEKDAY(DATE(AnoCalendario,4,1),2)+17,"")</f>
        <v>46127</v>
      </c>
      <c r="E18" s="6">
        <f>IF(MONTH(DATE(AnoCalendario,4,1)-WEEKDAY(DATE(AnoCalendario,4,1),2)+18)=4,DATE(AnoCalendario,4,1)-WEEKDAY(DATE(AnoCalendario,4,1),2)+18,"")</f>
        <v>46128</v>
      </c>
      <c r="F18" s="6">
        <f>IF(MONTH(DATE(AnoCalendario,4,1)-WEEKDAY(DATE(AnoCalendario,4,1),2)+19)=4,DATE(AnoCalendario,4,1)-WEEKDAY(DATE(AnoCalendario,4,1),2)+19,"")</f>
        <v>46129</v>
      </c>
      <c r="G18" s="6">
        <f>IF(MONTH(DATE(AnoCalendario,4,1)-WEEKDAY(DATE(AnoCalendario,4,1),2)+20)=4,DATE(AnoCalendario,4,1)-WEEKDAY(DATE(AnoCalendario,4,1),2)+20,"")</f>
        <v>46130</v>
      </c>
      <c r="H18" s="6">
        <f>IF(MONTH(DATE(AnoCalendario,4,1)-WEEKDAY(DATE(AnoCalendario,4,1),2)+21)=4,DATE(AnoCalendario,4,1)-WEEKDAY(DATE(AnoCalendario,4,1),2)+21,"")</f>
        <v>46131</v>
      </c>
      <c r="J18" s="6">
        <f>IF(MONTH(DATE(AnoCalendario,5,1)-WEEKDAY(DATE(AnoCalendario,5,1),2)+15)=5,DATE(AnoCalendario,5,1)-WEEKDAY(DATE(AnoCalendario,5,1),2)+15,"")</f>
        <v>46153</v>
      </c>
      <c r="K18" s="6">
        <f>IF(MONTH(DATE(AnoCalendario,5,1)-WEEKDAY(DATE(AnoCalendario,5,1),2)+16)=5,DATE(AnoCalendario,5,1)-WEEKDAY(DATE(AnoCalendario,5,1),2)+16,"")</f>
        <v>46154</v>
      </c>
      <c r="L18" s="6">
        <f>IF(MONTH(DATE(AnoCalendario,5,1)-WEEKDAY(DATE(AnoCalendario,5,1),2)+17)=5,DATE(AnoCalendario,5,1)-WEEKDAY(DATE(AnoCalendario,5,1),2)+17,"")</f>
        <v>46155</v>
      </c>
      <c r="M18" s="6">
        <f>IF(MONTH(DATE(AnoCalendario,5,1)-WEEKDAY(DATE(AnoCalendario,5,1),2)+18)=5,DATE(AnoCalendario,5,1)-WEEKDAY(DATE(AnoCalendario,5,1),2)+18,"")</f>
        <v>46156</v>
      </c>
      <c r="N18" s="6">
        <f>IF(MONTH(DATE(AnoCalendario,5,1)-WEEKDAY(DATE(AnoCalendario,5,1),2)+19)=5,DATE(AnoCalendario,5,1)-WEEKDAY(DATE(AnoCalendario,5,1),2)+19,"")</f>
        <v>46157</v>
      </c>
      <c r="O18" s="6">
        <f>IF(MONTH(DATE(AnoCalendario,5,1)-WEEKDAY(DATE(AnoCalendario,5,1),2)+20)=5,DATE(AnoCalendario,5,1)-WEEKDAY(DATE(AnoCalendario,5,1),2)+20,"")</f>
        <v>46158</v>
      </c>
      <c r="P18" s="6">
        <f>IF(MONTH(DATE(AnoCalendario,5,1)-WEEKDAY(DATE(AnoCalendario,5,1),2)+21)=5,DATE(AnoCalendario,5,1)-WEEKDAY(DATE(AnoCalendario,5,1),2)+21,"")</f>
        <v>46159</v>
      </c>
      <c r="R18" s="6">
        <f>IF(MONTH(DATE(AnoCalendario,6,1)-WEEKDAY(DATE(AnoCalendario,6,1),2)+15)=6,DATE(AnoCalendario,6,1)-WEEKDAY(DATE(AnoCalendario,6,1),2)+15,"")</f>
        <v>46188</v>
      </c>
      <c r="S18" s="6">
        <f>IF(MONTH(DATE(AnoCalendario,6,1)-WEEKDAY(DATE(AnoCalendario,6,1),2)+16)=6,DATE(AnoCalendario,6,1)-WEEKDAY(DATE(AnoCalendario,6,1),2)+16,"")</f>
        <v>46189</v>
      </c>
      <c r="T18" s="6">
        <f>IF(MONTH(DATE(AnoCalendario,6,1)-WEEKDAY(DATE(AnoCalendario,6,1),2)+17)=6,DATE(AnoCalendario,6,1)-WEEKDAY(DATE(AnoCalendario,6,1),2)+17,"")</f>
        <v>46190</v>
      </c>
      <c r="U18" s="6">
        <f>IF(MONTH(DATE(AnoCalendario,6,1)-WEEKDAY(DATE(AnoCalendario,6,1),2)+18)=6,DATE(AnoCalendario,6,1)-WEEKDAY(DATE(AnoCalendario,6,1),2)+18,"")</f>
        <v>46191</v>
      </c>
      <c r="V18" s="6">
        <f>IF(MONTH(DATE(AnoCalendario,6,1)-WEEKDAY(DATE(AnoCalendario,6,1),2)+19)=6,DATE(AnoCalendario,6,1)-WEEKDAY(DATE(AnoCalendario,6,1),2)+19,"")</f>
        <v>46192</v>
      </c>
      <c r="W18" s="6">
        <f>IF(MONTH(DATE(AnoCalendario,6,1)-WEEKDAY(DATE(AnoCalendario,6,1),2)+20)=6,DATE(AnoCalendario,6,1)-WEEKDAY(DATE(AnoCalendario,6,1),2)+20,"")</f>
        <v>46193</v>
      </c>
      <c r="X18" s="6">
        <f>IF(MONTH(DATE(AnoCalendario,6,1)-WEEKDAY(DATE(AnoCalendario,6,1),2)+21)=6,DATE(AnoCalendario,6,1)-WEEKDAY(DATE(AnoCalendario,6,1),2)+21,"")</f>
        <v>46194</v>
      </c>
    </row>
    <row r="19" spans="2:24" ht="16.5" customHeight="1" x14ac:dyDescent="0.3">
      <c r="B19" s="6">
        <f>IF(MONTH(DATE(AnoCalendario,4,1)-WEEKDAY(DATE(AnoCalendario,4,1),2)+22)=4,DATE(AnoCalendario,4,1)-WEEKDAY(DATE(AnoCalendario,4,1),2)+22,"")</f>
        <v>46132</v>
      </c>
      <c r="C19" s="6">
        <f>IF(MONTH(DATE(AnoCalendario,4,1)-WEEKDAY(DATE(AnoCalendario,4,1),2)+23)=4,DATE(AnoCalendario,4,1)-WEEKDAY(DATE(AnoCalendario,4,1),2)+23,"")</f>
        <v>46133</v>
      </c>
      <c r="D19" s="6">
        <f>IF(MONTH(DATE(AnoCalendario,4,1)-WEEKDAY(DATE(AnoCalendario,4,1),2)+24)=4,DATE(AnoCalendario,4,1)-WEEKDAY(DATE(AnoCalendario,4,1),2)+24,"")</f>
        <v>46134</v>
      </c>
      <c r="E19" s="6">
        <f>IF(MONTH(DATE(AnoCalendario,4,1)-WEEKDAY(DATE(AnoCalendario,4,1),2)+25)=4,DATE(AnoCalendario,4,1)-WEEKDAY(DATE(AnoCalendario,4,1),2)+25,"")</f>
        <v>46135</v>
      </c>
      <c r="F19" s="6">
        <f>IF(MONTH(DATE(AnoCalendario,4,1)-WEEKDAY(DATE(AnoCalendario,4,1),2)+26)=4,DATE(AnoCalendario,4,1)-WEEKDAY(DATE(AnoCalendario,4,1),2)+26,"")</f>
        <v>46136</v>
      </c>
      <c r="G19" s="6">
        <f>IF(MONTH(DATE(AnoCalendario,4,1)-WEEKDAY(DATE(AnoCalendario,4,1),2)+27)=4,DATE(AnoCalendario,4,1)-WEEKDAY(DATE(AnoCalendario,4,1),2)+27,"")</f>
        <v>46137</v>
      </c>
      <c r="H19" s="6">
        <f>IF(MONTH(DATE(AnoCalendario,4,1)-WEEKDAY(DATE(AnoCalendario,4,1),2)+28)=4,DATE(AnoCalendario,4,1)-WEEKDAY(DATE(AnoCalendario,4,1),2)+28,"")</f>
        <v>46138</v>
      </c>
      <c r="J19" s="6">
        <f>IF(MONTH(DATE(AnoCalendario,5,1)-WEEKDAY(DATE(AnoCalendario,5,1),2)+22)=5,DATE(AnoCalendario,5,1)-WEEKDAY(DATE(AnoCalendario,5,1),2)+22,"")</f>
        <v>46160</v>
      </c>
      <c r="K19" s="6">
        <f>IF(MONTH(DATE(AnoCalendario,5,1)-WEEKDAY(DATE(AnoCalendario,5,1),2)+23)=5,DATE(AnoCalendario,5,1)-WEEKDAY(DATE(AnoCalendario,5,1),2)+23,"")</f>
        <v>46161</v>
      </c>
      <c r="L19" s="6">
        <f>IF(MONTH(DATE(AnoCalendario,5,1)-WEEKDAY(DATE(AnoCalendario,5,1),2)+24)=5,DATE(AnoCalendario,5,1)-WEEKDAY(DATE(AnoCalendario,5,1),2)+24,"")</f>
        <v>46162</v>
      </c>
      <c r="M19" s="6">
        <f>IF(MONTH(DATE(AnoCalendario,5,1)-WEEKDAY(DATE(AnoCalendario,5,1),2)+25)=5,DATE(AnoCalendario,5,1)-WEEKDAY(DATE(AnoCalendario,5,1),2)+25,"")</f>
        <v>46163</v>
      </c>
      <c r="N19" s="6">
        <f>IF(MONTH(DATE(AnoCalendario,5,1)-WEEKDAY(DATE(AnoCalendario,5,1),2)+26)=5,DATE(AnoCalendario,5,1)-WEEKDAY(DATE(AnoCalendario,5,1),2)+26,"")</f>
        <v>46164</v>
      </c>
      <c r="O19" s="6">
        <f>IF(MONTH(DATE(AnoCalendario,5,1)-WEEKDAY(DATE(AnoCalendario,5,1),2)+27)=5,DATE(AnoCalendario,5,1)-WEEKDAY(DATE(AnoCalendario,5,1),2)+27,"")</f>
        <v>46165</v>
      </c>
      <c r="P19" s="6">
        <f>IF(MONTH(DATE(AnoCalendario,5,1)-WEEKDAY(DATE(AnoCalendario,5,1),2)+28)=5,DATE(AnoCalendario,5,1)-WEEKDAY(DATE(AnoCalendario,5,1),2)+28,"")</f>
        <v>46166</v>
      </c>
      <c r="R19" s="6">
        <f>IF(MONTH(DATE(AnoCalendario,6,1)-WEEKDAY(DATE(AnoCalendario,6,1),2)+22)=6,DATE(AnoCalendario,6,1)-WEEKDAY(DATE(AnoCalendario,6,1),2)+22,"")</f>
        <v>46195</v>
      </c>
      <c r="S19" s="6">
        <f>IF(MONTH(DATE(AnoCalendario,6,1)-WEEKDAY(DATE(AnoCalendario,6,1),2)+23)=6,DATE(AnoCalendario,6,1)-WEEKDAY(DATE(AnoCalendario,6,1),2)+23,"")</f>
        <v>46196</v>
      </c>
      <c r="T19" s="6">
        <f>IF(MONTH(DATE(AnoCalendario,6,1)-WEEKDAY(DATE(AnoCalendario,6,1),2)+24)=6,DATE(AnoCalendario,6,1)-WEEKDAY(DATE(AnoCalendario,6,1),2)+24,"")</f>
        <v>46197</v>
      </c>
      <c r="U19" s="6">
        <f>IF(MONTH(DATE(AnoCalendario,6,1)-WEEKDAY(DATE(AnoCalendario,6,1),2)+25)=6,DATE(AnoCalendario,6,1)-WEEKDAY(DATE(AnoCalendario,6,1),2)+25,"")</f>
        <v>46198</v>
      </c>
      <c r="V19" s="6">
        <f>IF(MONTH(DATE(AnoCalendario,6,1)-WEEKDAY(DATE(AnoCalendario,6,1),2)+26)=6,DATE(AnoCalendario,6,1)-WEEKDAY(DATE(AnoCalendario,6,1),2)+26,"")</f>
        <v>46199</v>
      </c>
      <c r="W19" s="6">
        <f>IF(MONTH(DATE(AnoCalendario,6,1)-WEEKDAY(DATE(AnoCalendario,6,1),2)+27)=6,DATE(AnoCalendario,6,1)-WEEKDAY(DATE(AnoCalendario,6,1),2)+27,"")</f>
        <v>46200</v>
      </c>
      <c r="X19" s="6">
        <f>IF(MONTH(DATE(AnoCalendario,6,1)-WEEKDAY(DATE(AnoCalendario,6,1),2)+28)=6,DATE(AnoCalendario,6,1)-WEEKDAY(DATE(AnoCalendario,6,1),2)+28,"")</f>
        <v>46201</v>
      </c>
    </row>
    <row r="20" spans="2:24" ht="16.5" customHeight="1" x14ac:dyDescent="0.3">
      <c r="B20" s="6">
        <f>IF(MONTH(DATE(AnoCalendario,4,1)-WEEKDAY(DATE(AnoCalendario,4,1),2)+29)=4,DATE(AnoCalendario,4,1)-WEEKDAY(DATE(AnoCalendario,4,1),2)+29,"")</f>
        <v>46139</v>
      </c>
      <c r="C20" s="6">
        <f>IF(MONTH(DATE(AnoCalendario,4,1)-WEEKDAY(DATE(AnoCalendario,4,1),2)+30)=4,DATE(AnoCalendario,4,1)-WEEKDAY(DATE(AnoCalendario,4,1),2)+30,"")</f>
        <v>46140</v>
      </c>
      <c r="D20" s="6">
        <f>IF(MONTH(DATE(AnoCalendario,4,1)-WEEKDAY(DATE(AnoCalendario,4,1),2)+31)=4,DATE(AnoCalendario,4,1)-WEEKDAY(DATE(AnoCalendario,4,1),2)+31,"")</f>
        <v>46141</v>
      </c>
      <c r="E20" s="6">
        <f>IF(MONTH(DATE(AnoCalendario,4,1)-WEEKDAY(DATE(AnoCalendario,4,1),2)+32)=4,DATE(AnoCalendario,4,1)-WEEKDAY(DATE(AnoCalendario,4,1),2)+32,"")</f>
        <v>46142</v>
      </c>
      <c r="F20" s="6" t="str">
        <f>IF(MONTH(DATE(AnoCalendario,4,1)-WEEKDAY(DATE(AnoCalendario,4,1),2)+33)=4,DATE(AnoCalendario,4,1)-WEEKDAY(DATE(AnoCalendario,4,1),2)+33,"")</f>
        <v/>
      </c>
      <c r="G20" s="6" t="str">
        <f>IF(MONTH(DATE(AnoCalendario,4,1)-WEEKDAY(DATE(AnoCalendario,4,1),2)+34)=4,DATE(AnoCalendario,4,1)-WEEKDAY(DATE(AnoCalendario,4,1),2)+34,"")</f>
        <v/>
      </c>
      <c r="H20" s="6" t="str">
        <f>IF(MONTH(DATE(AnoCalendario,4,1)-WEEKDAY(DATE(AnoCalendario,4,1),2)+35)=4,DATE(AnoCalendario,4,1)-WEEKDAY(DATE(AnoCalendario,4,1),2)+35,"")</f>
        <v/>
      </c>
      <c r="J20" s="6">
        <f>IF(MONTH(DATE(AnoCalendario,5,1)-WEEKDAY(DATE(AnoCalendario,5,1),2)+29)=5,DATE(AnoCalendario,5,1)-WEEKDAY(DATE(AnoCalendario,5,1),2)+29,"")</f>
        <v>46167</v>
      </c>
      <c r="K20" s="6">
        <f>IF(MONTH(DATE(AnoCalendario,5,1)-WEEKDAY(DATE(AnoCalendario,5,1),2)+30)=5,DATE(AnoCalendario,5,1)-WEEKDAY(DATE(AnoCalendario,5,1),2)+30,"")</f>
        <v>46168</v>
      </c>
      <c r="L20" s="6">
        <f>IF(MONTH(DATE(AnoCalendario,5,1)-WEEKDAY(DATE(AnoCalendario,5,1),2)+31)=5,DATE(AnoCalendario,5,1)-WEEKDAY(DATE(AnoCalendario,5,1),2)+31,"")</f>
        <v>46169</v>
      </c>
      <c r="M20" s="6">
        <f>IF(MONTH(DATE(AnoCalendario,5,1)-WEEKDAY(DATE(AnoCalendario,5,1),2)+32)=5,DATE(AnoCalendario,5,1)-WEEKDAY(DATE(AnoCalendario,5,1),2)+32,"")</f>
        <v>46170</v>
      </c>
      <c r="N20" s="6">
        <f>IF(MONTH(DATE(AnoCalendario,5,1)-WEEKDAY(DATE(AnoCalendario,5,1),2)+33)=5,DATE(AnoCalendario,5,1)-WEEKDAY(DATE(AnoCalendario,5,1),2)+33,"")</f>
        <v>46171</v>
      </c>
      <c r="O20" s="6">
        <f>IF(MONTH(DATE(AnoCalendario,5,1)-WEEKDAY(DATE(AnoCalendario,5,1),2)+34)=5,DATE(AnoCalendario,5,1)-WEEKDAY(DATE(AnoCalendario,5,1),2)+34,"")</f>
        <v>46172</v>
      </c>
      <c r="P20" s="6">
        <f>IF(MONTH(DATE(AnoCalendario,5,1)-WEEKDAY(DATE(AnoCalendario,5,1),2)+35)=5,DATE(AnoCalendario,5,1)-WEEKDAY(DATE(AnoCalendario,5,1),2)+35,"")</f>
        <v>46173</v>
      </c>
      <c r="R20" s="6">
        <f>IF(MONTH(DATE(AnoCalendario,6,1)-WEEKDAY(DATE(AnoCalendario,6,1),2)+29)=6,DATE(AnoCalendario,6,1)-WEEKDAY(DATE(AnoCalendario,6,1),2)+29,"")</f>
        <v>46202</v>
      </c>
      <c r="S20" s="6">
        <f>IF(MONTH(DATE(AnoCalendario,6,1)-WEEKDAY(DATE(AnoCalendario,6,1),2)+30)=6,DATE(AnoCalendario,6,1)-WEEKDAY(DATE(AnoCalendario,6,1),2)+30,"")</f>
        <v>46203</v>
      </c>
      <c r="T20" s="6" t="str">
        <f>IF(MONTH(DATE(AnoCalendario,6,1)-WEEKDAY(DATE(AnoCalendario,6,1),2)+31)=6,DATE(AnoCalendario,6,1)-WEEKDAY(DATE(AnoCalendario,6,1),2)+31,"")</f>
        <v/>
      </c>
      <c r="U20" s="6" t="str">
        <f>IF(MONTH(DATE(AnoCalendario,6,1)-WEEKDAY(DATE(AnoCalendario,6,1),2)+32)=6,DATE(AnoCalendario,6,1)-WEEKDAY(DATE(AnoCalendario,6,1),2)+32,"")</f>
        <v/>
      </c>
      <c r="V20" s="6" t="str">
        <f>IF(MONTH(DATE(AnoCalendario,6,1)-WEEKDAY(DATE(AnoCalendario,6,1),2)+33)=6,DATE(AnoCalendario,6,1)-WEEKDAY(DATE(AnoCalendario,6,1),2)+33,"")</f>
        <v/>
      </c>
      <c r="W20" s="6" t="str">
        <f>IF(MONTH(DATE(AnoCalendario,6,1)-WEEKDAY(DATE(AnoCalendario,6,1),2)+34)=6,DATE(AnoCalendario,6,1)-WEEKDAY(DATE(AnoCalendario,6,1),2)+34,"")</f>
        <v/>
      </c>
      <c r="X20" s="6" t="str">
        <f>IF(MONTH(DATE(AnoCalendario,6,1)-WEEKDAY(DATE(AnoCalendario,6,1),2)+35)=6,DATE(AnoCalendario,6,1)-WEEKDAY(DATE(AnoCalendario,6,1),2)+35,"")</f>
        <v/>
      </c>
    </row>
    <row r="21" spans="2:24" ht="16.5" customHeight="1" x14ac:dyDescent="0.3">
      <c r="B21" s="6" t="str">
        <f>IF(MONTH(DATE(AnoCalendario,4,1)-WEEKDAY(DATE(AnoCalendario,4,1),2)+36)=4,DATE(AnoCalendario,4,1)-WEEKDAY(DATE(AnoCalendario,4,1),2)+36,"")</f>
        <v/>
      </c>
      <c r="C21" s="6" t="str">
        <f>IF(MONTH(DATE(AnoCalendario,4,1)-WEEKDAY(DATE(AnoCalendario,4,1),2)+37)=4,DATE(AnoCalendario,4,1)-WEEKDAY(DATE(AnoCalendario,4,1),2)+37,"")</f>
        <v/>
      </c>
      <c r="D21" s="6" t="str">
        <f>IF(MONTH(DATE(AnoCalendario,4,1)-WEEKDAY(DATE(AnoCalendario,4,1),2)+38)=4,DATE(AnoCalendario,4,1)-WEEKDAY(DATE(AnoCalendario,4,1),2)+38,"")</f>
        <v/>
      </c>
      <c r="E21" s="6" t="str">
        <f>IF(MONTH(DATE(AnoCalendario,4,1)-WEEKDAY(DATE(AnoCalendario,4,1),2)+39)=4,DATE(AnoCalendario,4,1)-WEEKDAY(DATE(AnoCalendario,4,1),2)+39,"")</f>
        <v/>
      </c>
      <c r="F21" s="6" t="str">
        <f>IF(MONTH(DATE(AnoCalendario,4,1)-WEEKDAY(DATE(AnoCalendario,4,1),2)+40)=4,DATE(AnoCalendario,4,1)-WEEKDAY(DATE(AnoCalendario,4,1),2)+40,"")</f>
        <v/>
      </c>
      <c r="G21" s="6" t="str">
        <f>IF(MONTH(DATE(AnoCalendario,4,1)-WEEKDAY(DATE(AnoCalendario,4,1),2)+41)=4,DATE(AnoCalendario,4,1)-WEEKDAY(DATE(AnoCalendario,4,1),2)+41,"")</f>
        <v/>
      </c>
      <c r="H21" s="6" t="str">
        <f>IF(MONTH(DATE(AnoCalendario,4,1)-WEEKDAY(DATE(AnoCalendario,4,1),2)+42)=4,DATE(AnoCalendario,4,1)-WEEKDAY(DATE(AnoCalendario,4,1),2)+42,"")</f>
        <v/>
      </c>
      <c r="J21" s="6" t="str">
        <f>IF(MONTH(DATE(AnoCalendario,5,1)-WEEKDAY(DATE(AnoCalendario,5,1),2)+36)=5,DATE(AnoCalendario,5,1)-WEEKDAY(DATE(AnoCalendario,5,1),2)+36,"")</f>
        <v/>
      </c>
      <c r="K21" s="6" t="str">
        <f>IF(MONTH(DATE(AnoCalendario,5,1)-WEEKDAY(DATE(AnoCalendario,5,1),2)+37)=5,DATE(AnoCalendario,5,1)-WEEKDAY(DATE(AnoCalendario,5,1),2)+37,"")</f>
        <v/>
      </c>
      <c r="L21" s="6" t="str">
        <f>IF(MONTH(DATE(AnoCalendario,5,1)-WEEKDAY(DATE(AnoCalendario,5,1),2)+38)=5,DATE(AnoCalendario,5,1)-WEEKDAY(DATE(AnoCalendario,5,1),2)+38,"")</f>
        <v/>
      </c>
      <c r="M21" s="6" t="str">
        <f>IF(MONTH(DATE(AnoCalendario,5,1)-WEEKDAY(DATE(AnoCalendario,5,1),2)+39)=5,DATE(AnoCalendario,5,1)-WEEKDAY(DATE(AnoCalendario,5,1),2)+39,"")</f>
        <v/>
      </c>
      <c r="N21" s="6" t="str">
        <f>IF(MONTH(DATE(AnoCalendario,5,1)-WEEKDAY(DATE(AnoCalendario,5,1),2)+40)=5,DATE(AnoCalendario,5,1)-WEEKDAY(DATE(AnoCalendario,5,1),2)+40,"")</f>
        <v/>
      </c>
      <c r="O21" s="6" t="str">
        <f>IF(MONTH(DATE(AnoCalendario,5,1)-WEEKDAY(DATE(AnoCalendario,5,1),2)+41)=5,DATE(AnoCalendario,5,1)-WEEKDAY(DATE(AnoCalendario,5,1),2)+41,"")</f>
        <v/>
      </c>
      <c r="P21" s="6" t="str">
        <f>IF(MONTH(DATE(AnoCalendario,5,1)-WEEKDAY(DATE(AnoCalendario,5,1),2)+42)=5,DATE(AnoCalendario,5,1)-WEEKDAY(DATE(AnoCalendario,5,1),2)+42,"")</f>
        <v/>
      </c>
      <c r="R21" s="6" t="str">
        <f>IF(MONTH(DATE(AnoCalendario,6,1)-WEEKDAY(DATE(AnoCalendario,6,1),2)+36)=6,DATE(AnoCalendario,6,1)-WEEKDAY(DATE(AnoCalendario,6,1),2)+36,"")</f>
        <v/>
      </c>
      <c r="S21" s="6" t="str">
        <f>IF(MONTH(DATE(AnoCalendario,6,1)-WEEKDAY(DATE(AnoCalendario,6,1),2)+37)=6,DATE(AnoCalendario,6,1)-WEEKDAY(DATE(AnoCalendario,6,1),2)+37,"")</f>
        <v/>
      </c>
      <c r="T21" s="6" t="str">
        <f>IF(MONTH(DATE(AnoCalendario,6,1)-WEEKDAY(DATE(AnoCalendario,6,1),2)+38)=6,DATE(AnoCalendario,6,1)-WEEKDAY(DATE(AnoCalendario,6,1),2)+38,"")</f>
        <v/>
      </c>
      <c r="U21" s="6" t="str">
        <f>IF(MONTH(DATE(AnoCalendario,6,1)-WEEKDAY(DATE(AnoCalendario,6,1),2)+39)=6,DATE(AnoCalendario,6,1)-WEEKDAY(DATE(AnoCalendario,6,1),2)+39,"")</f>
        <v/>
      </c>
      <c r="V21" s="6" t="str">
        <f>IF(MONTH(DATE(AnoCalendario,6,1)-WEEKDAY(DATE(AnoCalendario,6,1),2)+40)=6,DATE(AnoCalendario,6,1)-WEEKDAY(DATE(AnoCalendario,6,1),2)+40,"")</f>
        <v/>
      </c>
      <c r="W21" s="6" t="str">
        <f>IF(MONTH(DATE(AnoCalendario,6,1)-WEEKDAY(DATE(AnoCalendario,6,1),2)+41)=6,DATE(AnoCalendario,6,1)-WEEKDAY(DATE(AnoCalendario,6,1),2)+41,"")</f>
        <v/>
      </c>
      <c r="X21" s="6" t="str">
        <f>IF(MONTH(DATE(AnoCalendario,6,1)-WEEKDAY(DATE(AnoCalendario,6,1),2)+42)=6,DATE(AnoCalendario,6,1)-WEEKDAY(DATE(AnoCalendario,6,1),2)+42,"")</f>
        <v/>
      </c>
    </row>
    <row r="22" spans="2:24" ht="12.75" customHeight="1" x14ac:dyDescent="0.3">
      <c r="B22" s="36" t="str">
        <f>"Eventos: "&amp;COUNTIFS(Eventos!$A$2:$A$999,"&gt;="&amp;DATE(AnoCalendario,4,1),Eventos!$A$2:$A$999,"&lt;"&amp;DATE(AnoCalendario,5,1),Eventos!$H$2:$H$999,"&lt;&gt;Cancelado")</f>
        <v>Eventos: 0</v>
      </c>
      <c r="C22" s="36"/>
      <c r="D22" s="36"/>
      <c r="E22" s="36"/>
      <c r="F22" s="36"/>
      <c r="G22" s="36"/>
      <c r="H22" s="36"/>
      <c r="J22" s="36" t="str">
        <f>"Eventos: "&amp;COUNTIFS(Eventos!$A$2:$A$999,"&gt;="&amp;DATE(AnoCalendario,5,1),Eventos!$A$2:$A$999,"&lt;"&amp;DATE(AnoCalendario,6,1),Eventos!$H$2:$H$999,"&lt;&gt;Cancelado")</f>
        <v>Eventos: 0</v>
      </c>
      <c r="K22" s="36"/>
      <c r="L22" s="36"/>
      <c r="M22" s="36"/>
      <c r="N22" s="36"/>
      <c r="O22" s="36"/>
      <c r="P22" s="36"/>
      <c r="R22" s="36" t="str">
        <f>"Eventos: "&amp;COUNTIFS(Eventos!$A$2:$A$999,"&gt;="&amp;DATE(AnoCalendario,6,1),Eventos!$A$2:$A$999,"&lt;"&amp;DATE(AnoCalendario,7,1),Eventos!$H$2:$H$999,"&lt;&gt;Cancelado")</f>
        <v>Eventos: 0</v>
      </c>
      <c r="S22" s="36"/>
      <c r="T22" s="36"/>
      <c r="U22" s="36"/>
      <c r="V22" s="36"/>
      <c r="W22" s="36"/>
      <c r="X22" s="36"/>
    </row>
    <row r="23" spans="2:24" ht="7.5" customHeight="1" x14ac:dyDescent="0.3"/>
    <row r="24" spans="2:24" ht="18" customHeight="1" x14ac:dyDescent="0.3">
      <c r="B24" s="35" t="str">
        <f>"Julho "&amp;AnoCalendario</f>
        <v>Julho 2026</v>
      </c>
      <c r="C24" s="35"/>
      <c r="D24" s="35"/>
      <c r="E24" s="35"/>
      <c r="F24" s="35"/>
      <c r="G24" s="35"/>
      <c r="H24" s="35"/>
      <c r="J24" s="35" t="str">
        <f>"Agosto "&amp;AnoCalendario</f>
        <v>Agosto 2026</v>
      </c>
      <c r="K24" s="35"/>
      <c r="L24" s="35"/>
      <c r="M24" s="35"/>
      <c r="N24" s="35"/>
      <c r="O24" s="35"/>
      <c r="P24" s="35"/>
      <c r="R24" s="35" t="str">
        <f>"Setembro "&amp;AnoCalendario</f>
        <v>Setembro 2026</v>
      </c>
      <c r="S24" s="35"/>
      <c r="T24" s="35"/>
      <c r="U24" s="35"/>
      <c r="V24" s="35"/>
      <c r="W24" s="35"/>
      <c r="X24" s="35"/>
    </row>
    <row r="25" spans="2:24" ht="15" customHeight="1" x14ac:dyDescent="0.3">
      <c r="B25" s="3" t="s">
        <v>5</v>
      </c>
      <c r="C25" s="3" t="s">
        <v>6</v>
      </c>
      <c r="D25" s="3" t="s">
        <v>7</v>
      </c>
      <c r="E25" s="3" t="s">
        <v>8</v>
      </c>
      <c r="F25" s="3" t="s">
        <v>9</v>
      </c>
      <c r="G25" s="4" t="s">
        <v>10</v>
      </c>
      <c r="H25" s="4" t="s">
        <v>11</v>
      </c>
      <c r="J25" s="3" t="s">
        <v>5</v>
      </c>
      <c r="K25" s="3" t="s">
        <v>6</v>
      </c>
      <c r="L25" s="3" t="s">
        <v>7</v>
      </c>
      <c r="M25" s="3" t="s">
        <v>8</v>
      </c>
      <c r="N25" s="3" t="s">
        <v>9</v>
      </c>
      <c r="O25" s="4" t="s">
        <v>10</v>
      </c>
      <c r="P25" s="4" t="s">
        <v>11</v>
      </c>
      <c r="R25" s="3" t="s">
        <v>5</v>
      </c>
      <c r="S25" s="3" t="s">
        <v>6</v>
      </c>
      <c r="T25" s="3" t="s">
        <v>7</v>
      </c>
      <c r="U25" s="3" t="s">
        <v>8</v>
      </c>
      <c r="V25" s="3" t="s">
        <v>9</v>
      </c>
      <c r="W25" s="4" t="s">
        <v>10</v>
      </c>
      <c r="X25" s="4" t="s">
        <v>11</v>
      </c>
    </row>
    <row r="26" spans="2:24" ht="16.5" customHeight="1" x14ac:dyDescent="0.3">
      <c r="B26" s="6" t="str">
        <f>IF(MONTH(DATE(AnoCalendario,7,1)-WEEKDAY(DATE(AnoCalendario,7,1),2)+1)=7,DATE(AnoCalendario,7,1)-WEEKDAY(DATE(AnoCalendario,7,1),2)+1,"")</f>
        <v/>
      </c>
      <c r="C26" s="6" t="str">
        <f>IF(MONTH(DATE(AnoCalendario,7,1)-WEEKDAY(DATE(AnoCalendario,7,1),2)+2)=7,DATE(AnoCalendario,7,1)-WEEKDAY(DATE(AnoCalendario,7,1),2)+2,"")</f>
        <v/>
      </c>
      <c r="D26" s="6">
        <f>IF(MONTH(DATE(AnoCalendario,7,1)-WEEKDAY(DATE(AnoCalendario,7,1),2)+3)=7,DATE(AnoCalendario,7,1)-WEEKDAY(DATE(AnoCalendario,7,1),2)+3,"")</f>
        <v>46204</v>
      </c>
      <c r="E26" s="6">
        <f>IF(MONTH(DATE(AnoCalendario,7,1)-WEEKDAY(DATE(AnoCalendario,7,1),2)+4)=7,DATE(AnoCalendario,7,1)-WEEKDAY(DATE(AnoCalendario,7,1),2)+4,"")</f>
        <v>46205</v>
      </c>
      <c r="F26" s="6">
        <f>IF(MONTH(DATE(AnoCalendario,7,1)-WEEKDAY(DATE(AnoCalendario,7,1),2)+5)=7,DATE(AnoCalendario,7,1)-WEEKDAY(DATE(AnoCalendario,7,1),2)+5,"")</f>
        <v>46206</v>
      </c>
      <c r="G26" s="6">
        <f>IF(MONTH(DATE(AnoCalendario,7,1)-WEEKDAY(DATE(AnoCalendario,7,1),2)+6)=7,DATE(AnoCalendario,7,1)-WEEKDAY(DATE(AnoCalendario,7,1),2)+6,"")</f>
        <v>46207</v>
      </c>
      <c r="H26" s="6">
        <f>IF(MONTH(DATE(AnoCalendario,7,1)-WEEKDAY(DATE(AnoCalendario,7,1),2)+7)=7,DATE(AnoCalendario,7,1)-WEEKDAY(DATE(AnoCalendario,7,1),2)+7,"")</f>
        <v>46208</v>
      </c>
      <c r="J26" s="6" t="str">
        <f>IF(MONTH(DATE(AnoCalendario,8,1)-WEEKDAY(DATE(AnoCalendario,8,1),2)+1)=8,DATE(AnoCalendario,8,1)-WEEKDAY(DATE(AnoCalendario,8,1),2)+1,"")</f>
        <v/>
      </c>
      <c r="K26" s="6" t="str">
        <f>IF(MONTH(DATE(AnoCalendario,8,1)-WEEKDAY(DATE(AnoCalendario,8,1),2)+2)=8,DATE(AnoCalendario,8,1)-WEEKDAY(DATE(AnoCalendario,8,1),2)+2,"")</f>
        <v/>
      </c>
      <c r="L26" s="6" t="str">
        <f>IF(MONTH(DATE(AnoCalendario,8,1)-WEEKDAY(DATE(AnoCalendario,8,1),2)+3)=8,DATE(AnoCalendario,8,1)-WEEKDAY(DATE(AnoCalendario,8,1),2)+3,"")</f>
        <v/>
      </c>
      <c r="M26" s="6" t="str">
        <f>IF(MONTH(DATE(AnoCalendario,8,1)-WEEKDAY(DATE(AnoCalendario,8,1),2)+4)=8,DATE(AnoCalendario,8,1)-WEEKDAY(DATE(AnoCalendario,8,1),2)+4,"")</f>
        <v/>
      </c>
      <c r="N26" s="6" t="str">
        <f>IF(MONTH(DATE(AnoCalendario,8,1)-WEEKDAY(DATE(AnoCalendario,8,1),2)+5)=8,DATE(AnoCalendario,8,1)-WEEKDAY(DATE(AnoCalendario,8,1),2)+5,"")</f>
        <v/>
      </c>
      <c r="O26" s="6">
        <f>IF(MONTH(DATE(AnoCalendario,8,1)-WEEKDAY(DATE(AnoCalendario,8,1),2)+6)=8,DATE(AnoCalendario,8,1)-WEEKDAY(DATE(AnoCalendario,8,1),2)+6,"")</f>
        <v>46235</v>
      </c>
      <c r="P26" s="6">
        <f>IF(MONTH(DATE(AnoCalendario,8,1)-WEEKDAY(DATE(AnoCalendario,8,1),2)+7)=8,DATE(AnoCalendario,8,1)-WEEKDAY(DATE(AnoCalendario,8,1),2)+7,"")</f>
        <v>46236</v>
      </c>
      <c r="R26" s="6" t="str">
        <f>IF(MONTH(DATE(AnoCalendario,9,1)-WEEKDAY(DATE(AnoCalendario,9,1),2)+1)=9,DATE(AnoCalendario,9,1)-WEEKDAY(DATE(AnoCalendario,9,1),2)+1,"")</f>
        <v/>
      </c>
      <c r="S26" s="6">
        <f>IF(MONTH(DATE(AnoCalendario,9,1)-WEEKDAY(DATE(AnoCalendario,9,1),2)+2)=9,DATE(AnoCalendario,9,1)-WEEKDAY(DATE(AnoCalendario,9,1),2)+2,"")</f>
        <v>46266</v>
      </c>
      <c r="T26" s="6">
        <f>IF(MONTH(DATE(AnoCalendario,9,1)-WEEKDAY(DATE(AnoCalendario,9,1),2)+3)=9,DATE(AnoCalendario,9,1)-WEEKDAY(DATE(AnoCalendario,9,1),2)+3,"")</f>
        <v>46267</v>
      </c>
      <c r="U26" s="6">
        <f>IF(MONTH(DATE(AnoCalendario,9,1)-WEEKDAY(DATE(AnoCalendario,9,1),2)+4)=9,DATE(AnoCalendario,9,1)-WEEKDAY(DATE(AnoCalendario,9,1),2)+4,"")</f>
        <v>46268</v>
      </c>
      <c r="V26" s="6">
        <f>IF(MONTH(DATE(AnoCalendario,9,1)-WEEKDAY(DATE(AnoCalendario,9,1),2)+5)=9,DATE(AnoCalendario,9,1)-WEEKDAY(DATE(AnoCalendario,9,1),2)+5,"")</f>
        <v>46269</v>
      </c>
      <c r="W26" s="6">
        <f>IF(MONTH(DATE(AnoCalendario,9,1)-WEEKDAY(DATE(AnoCalendario,9,1),2)+6)=9,DATE(AnoCalendario,9,1)-WEEKDAY(DATE(AnoCalendario,9,1),2)+6,"")</f>
        <v>46270</v>
      </c>
      <c r="X26" s="6">
        <f>IF(MONTH(DATE(AnoCalendario,9,1)-WEEKDAY(DATE(AnoCalendario,9,1),2)+7)=9,DATE(AnoCalendario,9,1)-WEEKDAY(DATE(AnoCalendario,9,1),2)+7,"")</f>
        <v>46271</v>
      </c>
    </row>
    <row r="27" spans="2:24" ht="16.5" customHeight="1" x14ac:dyDescent="0.3">
      <c r="B27" s="6">
        <f>IF(MONTH(DATE(AnoCalendario,7,1)-WEEKDAY(DATE(AnoCalendario,7,1),2)+8)=7,DATE(AnoCalendario,7,1)-WEEKDAY(DATE(AnoCalendario,7,1),2)+8,"")</f>
        <v>46209</v>
      </c>
      <c r="C27" s="6">
        <f>IF(MONTH(DATE(AnoCalendario,7,1)-WEEKDAY(DATE(AnoCalendario,7,1),2)+9)=7,DATE(AnoCalendario,7,1)-WEEKDAY(DATE(AnoCalendario,7,1),2)+9,"")</f>
        <v>46210</v>
      </c>
      <c r="D27" s="6">
        <f>IF(MONTH(DATE(AnoCalendario,7,1)-WEEKDAY(DATE(AnoCalendario,7,1),2)+10)=7,DATE(AnoCalendario,7,1)-WEEKDAY(DATE(AnoCalendario,7,1),2)+10,"")</f>
        <v>46211</v>
      </c>
      <c r="E27" s="6">
        <f>IF(MONTH(DATE(AnoCalendario,7,1)-WEEKDAY(DATE(AnoCalendario,7,1),2)+11)=7,DATE(AnoCalendario,7,1)-WEEKDAY(DATE(AnoCalendario,7,1),2)+11,"")</f>
        <v>46212</v>
      </c>
      <c r="F27" s="6">
        <f>IF(MONTH(DATE(AnoCalendario,7,1)-WEEKDAY(DATE(AnoCalendario,7,1),2)+12)=7,DATE(AnoCalendario,7,1)-WEEKDAY(DATE(AnoCalendario,7,1),2)+12,"")</f>
        <v>46213</v>
      </c>
      <c r="G27" s="6">
        <f>IF(MONTH(DATE(AnoCalendario,7,1)-WEEKDAY(DATE(AnoCalendario,7,1),2)+13)=7,DATE(AnoCalendario,7,1)-WEEKDAY(DATE(AnoCalendario,7,1),2)+13,"")</f>
        <v>46214</v>
      </c>
      <c r="H27" s="6">
        <f>IF(MONTH(DATE(AnoCalendario,7,1)-WEEKDAY(DATE(AnoCalendario,7,1),2)+14)=7,DATE(AnoCalendario,7,1)-WEEKDAY(DATE(AnoCalendario,7,1),2)+14,"")</f>
        <v>46215</v>
      </c>
      <c r="J27" s="6">
        <f>IF(MONTH(DATE(AnoCalendario,8,1)-WEEKDAY(DATE(AnoCalendario,8,1),2)+8)=8,DATE(AnoCalendario,8,1)-WEEKDAY(DATE(AnoCalendario,8,1),2)+8,"")</f>
        <v>46237</v>
      </c>
      <c r="K27" s="6">
        <f>IF(MONTH(DATE(AnoCalendario,8,1)-WEEKDAY(DATE(AnoCalendario,8,1),2)+9)=8,DATE(AnoCalendario,8,1)-WEEKDAY(DATE(AnoCalendario,8,1),2)+9,"")</f>
        <v>46238</v>
      </c>
      <c r="L27" s="6">
        <f>IF(MONTH(DATE(AnoCalendario,8,1)-WEEKDAY(DATE(AnoCalendario,8,1),2)+10)=8,DATE(AnoCalendario,8,1)-WEEKDAY(DATE(AnoCalendario,8,1),2)+10,"")</f>
        <v>46239</v>
      </c>
      <c r="M27" s="6">
        <f>IF(MONTH(DATE(AnoCalendario,8,1)-WEEKDAY(DATE(AnoCalendario,8,1),2)+11)=8,DATE(AnoCalendario,8,1)-WEEKDAY(DATE(AnoCalendario,8,1),2)+11,"")</f>
        <v>46240</v>
      </c>
      <c r="N27" s="6">
        <f>IF(MONTH(DATE(AnoCalendario,8,1)-WEEKDAY(DATE(AnoCalendario,8,1),2)+12)=8,DATE(AnoCalendario,8,1)-WEEKDAY(DATE(AnoCalendario,8,1),2)+12,"")</f>
        <v>46241</v>
      </c>
      <c r="O27" s="6">
        <f>IF(MONTH(DATE(AnoCalendario,8,1)-WEEKDAY(DATE(AnoCalendario,8,1),2)+13)=8,DATE(AnoCalendario,8,1)-WEEKDAY(DATE(AnoCalendario,8,1),2)+13,"")</f>
        <v>46242</v>
      </c>
      <c r="P27" s="6">
        <f>IF(MONTH(DATE(AnoCalendario,8,1)-WEEKDAY(DATE(AnoCalendario,8,1),2)+14)=8,DATE(AnoCalendario,8,1)-WEEKDAY(DATE(AnoCalendario,8,1),2)+14,"")</f>
        <v>46243</v>
      </c>
      <c r="R27" s="6">
        <f>IF(MONTH(DATE(AnoCalendario,9,1)-WEEKDAY(DATE(AnoCalendario,9,1),2)+8)=9,DATE(AnoCalendario,9,1)-WEEKDAY(DATE(AnoCalendario,9,1),2)+8,"")</f>
        <v>46272</v>
      </c>
      <c r="S27" s="6">
        <f>IF(MONTH(DATE(AnoCalendario,9,1)-WEEKDAY(DATE(AnoCalendario,9,1),2)+9)=9,DATE(AnoCalendario,9,1)-WEEKDAY(DATE(AnoCalendario,9,1),2)+9,"")</f>
        <v>46273</v>
      </c>
      <c r="T27" s="6">
        <f>IF(MONTH(DATE(AnoCalendario,9,1)-WEEKDAY(DATE(AnoCalendario,9,1),2)+10)=9,DATE(AnoCalendario,9,1)-WEEKDAY(DATE(AnoCalendario,9,1),2)+10,"")</f>
        <v>46274</v>
      </c>
      <c r="U27" s="6">
        <f>IF(MONTH(DATE(AnoCalendario,9,1)-WEEKDAY(DATE(AnoCalendario,9,1),2)+11)=9,DATE(AnoCalendario,9,1)-WEEKDAY(DATE(AnoCalendario,9,1),2)+11,"")</f>
        <v>46275</v>
      </c>
      <c r="V27" s="6">
        <f>IF(MONTH(DATE(AnoCalendario,9,1)-WEEKDAY(DATE(AnoCalendario,9,1),2)+12)=9,DATE(AnoCalendario,9,1)-WEEKDAY(DATE(AnoCalendario,9,1),2)+12,"")</f>
        <v>46276</v>
      </c>
      <c r="W27" s="6">
        <f>IF(MONTH(DATE(AnoCalendario,9,1)-WEEKDAY(DATE(AnoCalendario,9,1),2)+13)=9,DATE(AnoCalendario,9,1)-WEEKDAY(DATE(AnoCalendario,9,1),2)+13,"")</f>
        <v>46277</v>
      </c>
      <c r="X27" s="6">
        <f>IF(MONTH(DATE(AnoCalendario,9,1)-WEEKDAY(DATE(AnoCalendario,9,1),2)+14)=9,DATE(AnoCalendario,9,1)-WEEKDAY(DATE(AnoCalendario,9,1),2)+14,"")</f>
        <v>46278</v>
      </c>
    </row>
    <row r="28" spans="2:24" ht="16.5" customHeight="1" x14ac:dyDescent="0.3">
      <c r="B28" s="6">
        <f>IF(MONTH(DATE(AnoCalendario,7,1)-WEEKDAY(DATE(AnoCalendario,7,1),2)+15)=7,DATE(AnoCalendario,7,1)-WEEKDAY(DATE(AnoCalendario,7,1),2)+15,"")</f>
        <v>46216</v>
      </c>
      <c r="C28" s="6">
        <f>IF(MONTH(DATE(AnoCalendario,7,1)-WEEKDAY(DATE(AnoCalendario,7,1),2)+16)=7,DATE(AnoCalendario,7,1)-WEEKDAY(DATE(AnoCalendario,7,1),2)+16,"")</f>
        <v>46217</v>
      </c>
      <c r="D28" s="6">
        <f>IF(MONTH(DATE(AnoCalendario,7,1)-WEEKDAY(DATE(AnoCalendario,7,1),2)+17)=7,DATE(AnoCalendario,7,1)-WEEKDAY(DATE(AnoCalendario,7,1),2)+17,"")</f>
        <v>46218</v>
      </c>
      <c r="E28" s="6">
        <f>IF(MONTH(DATE(AnoCalendario,7,1)-WEEKDAY(DATE(AnoCalendario,7,1),2)+18)=7,DATE(AnoCalendario,7,1)-WEEKDAY(DATE(AnoCalendario,7,1),2)+18,"")</f>
        <v>46219</v>
      </c>
      <c r="F28" s="6">
        <f>IF(MONTH(DATE(AnoCalendario,7,1)-WEEKDAY(DATE(AnoCalendario,7,1),2)+19)=7,DATE(AnoCalendario,7,1)-WEEKDAY(DATE(AnoCalendario,7,1),2)+19,"")</f>
        <v>46220</v>
      </c>
      <c r="G28" s="6">
        <f>IF(MONTH(DATE(AnoCalendario,7,1)-WEEKDAY(DATE(AnoCalendario,7,1),2)+20)=7,DATE(AnoCalendario,7,1)-WEEKDAY(DATE(AnoCalendario,7,1),2)+20,"")</f>
        <v>46221</v>
      </c>
      <c r="H28" s="6">
        <f>IF(MONTH(DATE(AnoCalendario,7,1)-WEEKDAY(DATE(AnoCalendario,7,1),2)+21)=7,DATE(AnoCalendario,7,1)-WEEKDAY(DATE(AnoCalendario,7,1),2)+21,"")</f>
        <v>46222</v>
      </c>
      <c r="J28" s="6">
        <f>IF(MONTH(DATE(AnoCalendario,8,1)-WEEKDAY(DATE(AnoCalendario,8,1),2)+15)=8,DATE(AnoCalendario,8,1)-WEEKDAY(DATE(AnoCalendario,8,1),2)+15,"")</f>
        <v>46244</v>
      </c>
      <c r="K28" s="6">
        <f>IF(MONTH(DATE(AnoCalendario,8,1)-WEEKDAY(DATE(AnoCalendario,8,1),2)+16)=8,DATE(AnoCalendario,8,1)-WEEKDAY(DATE(AnoCalendario,8,1),2)+16,"")</f>
        <v>46245</v>
      </c>
      <c r="L28" s="6">
        <f>IF(MONTH(DATE(AnoCalendario,8,1)-WEEKDAY(DATE(AnoCalendario,8,1),2)+17)=8,DATE(AnoCalendario,8,1)-WEEKDAY(DATE(AnoCalendario,8,1),2)+17,"")</f>
        <v>46246</v>
      </c>
      <c r="M28" s="6">
        <f>IF(MONTH(DATE(AnoCalendario,8,1)-WEEKDAY(DATE(AnoCalendario,8,1),2)+18)=8,DATE(AnoCalendario,8,1)-WEEKDAY(DATE(AnoCalendario,8,1),2)+18,"")</f>
        <v>46247</v>
      </c>
      <c r="N28" s="6">
        <f>IF(MONTH(DATE(AnoCalendario,8,1)-WEEKDAY(DATE(AnoCalendario,8,1),2)+19)=8,DATE(AnoCalendario,8,1)-WEEKDAY(DATE(AnoCalendario,8,1),2)+19,"")</f>
        <v>46248</v>
      </c>
      <c r="O28" s="6">
        <f>IF(MONTH(DATE(AnoCalendario,8,1)-WEEKDAY(DATE(AnoCalendario,8,1),2)+20)=8,DATE(AnoCalendario,8,1)-WEEKDAY(DATE(AnoCalendario,8,1),2)+20,"")</f>
        <v>46249</v>
      </c>
      <c r="P28" s="6">
        <f>IF(MONTH(DATE(AnoCalendario,8,1)-WEEKDAY(DATE(AnoCalendario,8,1),2)+21)=8,DATE(AnoCalendario,8,1)-WEEKDAY(DATE(AnoCalendario,8,1),2)+21,"")</f>
        <v>46250</v>
      </c>
      <c r="R28" s="6">
        <f>IF(MONTH(DATE(AnoCalendario,9,1)-WEEKDAY(DATE(AnoCalendario,9,1),2)+15)=9,DATE(AnoCalendario,9,1)-WEEKDAY(DATE(AnoCalendario,9,1),2)+15,"")</f>
        <v>46279</v>
      </c>
      <c r="S28" s="6">
        <f>IF(MONTH(DATE(AnoCalendario,9,1)-WEEKDAY(DATE(AnoCalendario,9,1),2)+16)=9,DATE(AnoCalendario,9,1)-WEEKDAY(DATE(AnoCalendario,9,1),2)+16,"")</f>
        <v>46280</v>
      </c>
      <c r="T28" s="6">
        <f>IF(MONTH(DATE(AnoCalendario,9,1)-WEEKDAY(DATE(AnoCalendario,9,1),2)+17)=9,DATE(AnoCalendario,9,1)-WEEKDAY(DATE(AnoCalendario,9,1),2)+17,"")</f>
        <v>46281</v>
      </c>
      <c r="U28" s="6">
        <f>IF(MONTH(DATE(AnoCalendario,9,1)-WEEKDAY(DATE(AnoCalendario,9,1),2)+18)=9,DATE(AnoCalendario,9,1)-WEEKDAY(DATE(AnoCalendario,9,1),2)+18,"")</f>
        <v>46282</v>
      </c>
      <c r="V28" s="6">
        <f>IF(MONTH(DATE(AnoCalendario,9,1)-WEEKDAY(DATE(AnoCalendario,9,1),2)+19)=9,DATE(AnoCalendario,9,1)-WEEKDAY(DATE(AnoCalendario,9,1),2)+19,"")</f>
        <v>46283</v>
      </c>
      <c r="W28" s="6">
        <f>IF(MONTH(DATE(AnoCalendario,9,1)-WEEKDAY(DATE(AnoCalendario,9,1),2)+20)=9,DATE(AnoCalendario,9,1)-WEEKDAY(DATE(AnoCalendario,9,1),2)+20,"")</f>
        <v>46284</v>
      </c>
      <c r="X28" s="6">
        <f>IF(MONTH(DATE(AnoCalendario,9,1)-WEEKDAY(DATE(AnoCalendario,9,1),2)+21)=9,DATE(AnoCalendario,9,1)-WEEKDAY(DATE(AnoCalendario,9,1),2)+21,"")</f>
        <v>46285</v>
      </c>
    </row>
    <row r="29" spans="2:24" ht="16.5" customHeight="1" x14ac:dyDescent="0.3">
      <c r="B29" s="6">
        <f>IF(MONTH(DATE(AnoCalendario,7,1)-WEEKDAY(DATE(AnoCalendario,7,1),2)+22)=7,DATE(AnoCalendario,7,1)-WEEKDAY(DATE(AnoCalendario,7,1),2)+22,"")</f>
        <v>46223</v>
      </c>
      <c r="C29" s="6">
        <f>IF(MONTH(DATE(AnoCalendario,7,1)-WEEKDAY(DATE(AnoCalendario,7,1),2)+23)=7,DATE(AnoCalendario,7,1)-WEEKDAY(DATE(AnoCalendario,7,1),2)+23,"")</f>
        <v>46224</v>
      </c>
      <c r="D29" s="6">
        <f>IF(MONTH(DATE(AnoCalendario,7,1)-WEEKDAY(DATE(AnoCalendario,7,1),2)+24)=7,DATE(AnoCalendario,7,1)-WEEKDAY(DATE(AnoCalendario,7,1),2)+24,"")</f>
        <v>46225</v>
      </c>
      <c r="E29" s="6">
        <f>IF(MONTH(DATE(AnoCalendario,7,1)-WEEKDAY(DATE(AnoCalendario,7,1),2)+25)=7,DATE(AnoCalendario,7,1)-WEEKDAY(DATE(AnoCalendario,7,1),2)+25,"")</f>
        <v>46226</v>
      </c>
      <c r="F29" s="6">
        <f>IF(MONTH(DATE(AnoCalendario,7,1)-WEEKDAY(DATE(AnoCalendario,7,1),2)+26)=7,DATE(AnoCalendario,7,1)-WEEKDAY(DATE(AnoCalendario,7,1),2)+26,"")</f>
        <v>46227</v>
      </c>
      <c r="G29" s="6">
        <f>IF(MONTH(DATE(AnoCalendario,7,1)-WEEKDAY(DATE(AnoCalendario,7,1),2)+27)=7,DATE(AnoCalendario,7,1)-WEEKDAY(DATE(AnoCalendario,7,1),2)+27,"")</f>
        <v>46228</v>
      </c>
      <c r="H29" s="6">
        <f>IF(MONTH(DATE(AnoCalendario,7,1)-WEEKDAY(DATE(AnoCalendario,7,1),2)+28)=7,DATE(AnoCalendario,7,1)-WEEKDAY(DATE(AnoCalendario,7,1),2)+28,"")</f>
        <v>46229</v>
      </c>
      <c r="J29" s="6">
        <f>IF(MONTH(DATE(AnoCalendario,8,1)-WEEKDAY(DATE(AnoCalendario,8,1),2)+22)=8,DATE(AnoCalendario,8,1)-WEEKDAY(DATE(AnoCalendario,8,1),2)+22,"")</f>
        <v>46251</v>
      </c>
      <c r="K29" s="6">
        <f>IF(MONTH(DATE(AnoCalendario,8,1)-WEEKDAY(DATE(AnoCalendario,8,1),2)+23)=8,DATE(AnoCalendario,8,1)-WEEKDAY(DATE(AnoCalendario,8,1),2)+23,"")</f>
        <v>46252</v>
      </c>
      <c r="L29" s="6">
        <f>IF(MONTH(DATE(AnoCalendario,8,1)-WEEKDAY(DATE(AnoCalendario,8,1),2)+24)=8,DATE(AnoCalendario,8,1)-WEEKDAY(DATE(AnoCalendario,8,1),2)+24,"")</f>
        <v>46253</v>
      </c>
      <c r="M29" s="6">
        <f>IF(MONTH(DATE(AnoCalendario,8,1)-WEEKDAY(DATE(AnoCalendario,8,1),2)+25)=8,DATE(AnoCalendario,8,1)-WEEKDAY(DATE(AnoCalendario,8,1),2)+25,"")</f>
        <v>46254</v>
      </c>
      <c r="N29" s="6">
        <f>IF(MONTH(DATE(AnoCalendario,8,1)-WEEKDAY(DATE(AnoCalendario,8,1),2)+26)=8,DATE(AnoCalendario,8,1)-WEEKDAY(DATE(AnoCalendario,8,1),2)+26,"")</f>
        <v>46255</v>
      </c>
      <c r="O29" s="6">
        <f>IF(MONTH(DATE(AnoCalendario,8,1)-WEEKDAY(DATE(AnoCalendario,8,1),2)+27)=8,DATE(AnoCalendario,8,1)-WEEKDAY(DATE(AnoCalendario,8,1),2)+27,"")</f>
        <v>46256</v>
      </c>
      <c r="P29" s="6">
        <f>IF(MONTH(DATE(AnoCalendario,8,1)-WEEKDAY(DATE(AnoCalendario,8,1),2)+28)=8,DATE(AnoCalendario,8,1)-WEEKDAY(DATE(AnoCalendario,8,1),2)+28,"")</f>
        <v>46257</v>
      </c>
      <c r="R29" s="6">
        <f>IF(MONTH(DATE(AnoCalendario,9,1)-WEEKDAY(DATE(AnoCalendario,9,1),2)+22)=9,DATE(AnoCalendario,9,1)-WEEKDAY(DATE(AnoCalendario,9,1),2)+22,"")</f>
        <v>46286</v>
      </c>
      <c r="S29" s="6">
        <f>IF(MONTH(DATE(AnoCalendario,9,1)-WEEKDAY(DATE(AnoCalendario,9,1),2)+23)=9,DATE(AnoCalendario,9,1)-WEEKDAY(DATE(AnoCalendario,9,1),2)+23,"")</f>
        <v>46287</v>
      </c>
      <c r="T29" s="6">
        <f>IF(MONTH(DATE(AnoCalendario,9,1)-WEEKDAY(DATE(AnoCalendario,9,1),2)+24)=9,DATE(AnoCalendario,9,1)-WEEKDAY(DATE(AnoCalendario,9,1),2)+24,"")</f>
        <v>46288</v>
      </c>
      <c r="U29" s="6">
        <f>IF(MONTH(DATE(AnoCalendario,9,1)-WEEKDAY(DATE(AnoCalendario,9,1),2)+25)=9,DATE(AnoCalendario,9,1)-WEEKDAY(DATE(AnoCalendario,9,1),2)+25,"")</f>
        <v>46289</v>
      </c>
      <c r="V29" s="6">
        <f>IF(MONTH(DATE(AnoCalendario,9,1)-WEEKDAY(DATE(AnoCalendario,9,1),2)+26)=9,DATE(AnoCalendario,9,1)-WEEKDAY(DATE(AnoCalendario,9,1),2)+26,"")</f>
        <v>46290</v>
      </c>
      <c r="W29" s="6">
        <f>IF(MONTH(DATE(AnoCalendario,9,1)-WEEKDAY(DATE(AnoCalendario,9,1),2)+27)=9,DATE(AnoCalendario,9,1)-WEEKDAY(DATE(AnoCalendario,9,1),2)+27,"")</f>
        <v>46291</v>
      </c>
      <c r="X29" s="6">
        <f>IF(MONTH(DATE(AnoCalendario,9,1)-WEEKDAY(DATE(AnoCalendario,9,1),2)+28)=9,DATE(AnoCalendario,9,1)-WEEKDAY(DATE(AnoCalendario,9,1),2)+28,"")</f>
        <v>46292</v>
      </c>
    </row>
    <row r="30" spans="2:24" ht="16.5" customHeight="1" x14ac:dyDescent="0.3">
      <c r="B30" s="6">
        <f>IF(MONTH(DATE(AnoCalendario,7,1)-WEEKDAY(DATE(AnoCalendario,7,1),2)+29)=7,DATE(AnoCalendario,7,1)-WEEKDAY(DATE(AnoCalendario,7,1),2)+29,"")</f>
        <v>46230</v>
      </c>
      <c r="C30" s="6">
        <f>IF(MONTH(DATE(AnoCalendario,7,1)-WEEKDAY(DATE(AnoCalendario,7,1),2)+30)=7,DATE(AnoCalendario,7,1)-WEEKDAY(DATE(AnoCalendario,7,1),2)+30,"")</f>
        <v>46231</v>
      </c>
      <c r="D30" s="6">
        <f>IF(MONTH(DATE(AnoCalendario,7,1)-WEEKDAY(DATE(AnoCalendario,7,1),2)+31)=7,DATE(AnoCalendario,7,1)-WEEKDAY(DATE(AnoCalendario,7,1),2)+31,"")</f>
        <v>46232</v>
      </c>
      <c r="E30" s="6">
        <f>IF(MONTH(DATE(AnoCalendario,7,1)-WEEKDAY(DATE(AnoCalendario,7,1),2)+32)=7,DATE(AnoCalendario,7,1)-WEEKDAY(DATE(AnoCalendario,7,1),2)+32,"")</f>
        <v>46233</v>
      </c>
      <c r="F30" s="6">
        <f>IF(MONTH(DATE(AnoCalendario,7,1)-WEEKDAY(DATE(AnoCalendario,7,1),2)+33)=7,DATE(AnoCalendario,7,1)-WEEKDAY(DATE(AnoCalendario,7,1),2)+33,"")</f>
        <v>46234</v>
      </c>
      <c r="G30" s="6" t="str">
        <f>IF(MONTH(DATE(AnoCalendario,7,1)-WEEKDAY(DATE(AnoCalendario,7,1),2)+34)=7,DATE(AnoCalendario,7,1)-WEEKDAY(DATE(AnoCalendario,7,1),2)+34,"")</f>
        <v/>
      </c>
      <c r="H30" s="6" t="str">
        <f>IF(MONTH(DATE(AnoCalendario,7,1)-WEEKDAY(DATE(AnoCalendario,7,1),2)+35)=7,DATE(AnoCalendario,7,1)-WEEKDAY(DATE(AnoCalendario,7,1),2)+35,"")</f>
        <v/>
      </c>
      <c r="J30" s="6">
        <f>IF(MONTH(DATE(AnoCalendario,8,1)-WEEKDAY(DATE(AnoCalendario,8,1),2)+29)=8,DATE(AnoCalendario,8,1)-WEEKDAY(DATE(AnoCalendario,8,1),2)+29,"")</f>
        <v>46258</v>
      </c>
      <c r="K30" s="6">
        <f>IF(MONTH(DATE(AnoCalendario,8,1)-WEEKDAY(DATE(AnoCalendario,8,1),2)+30)=8,DATE(AnoCalendario,8,1)-WEEKDAY(DATE(AnoCalendario,8,1),2)+30,"")</f>
        <v>46259</v>
      </c>
      <c r="L30" s="6">
        <f>IF(MONTH(DATE(AnoCalendario,8,1)-WEEKDAY(DATE(AnoCalendario,8,1),2)+31)=8,DATE(AnoCalendario,8,1)-WEEKDAY(DATE(AnoCalendario,8,1),2)+31,"")</f>
        <v>46260</v>
      </c>
      <c r="M30" s="6">
        <f>IF(MONTH(DATE(AnoCalendario,8,1)-WEEKDAY(DATE(AnoCalendario,8,1),2)+32)=8,DATE(AnoCalendario,8,1)-WEEKDAY(DATE(AnoCalendario,8,1),2)+32,"")</f>
        <v>46261</v>
      </c>
      <c r="N30" s="6">
        <f>IF(MONTH(DATE(AnoCalendario,8,1)-WEEKDAY(DATE(AnoCalendario,8,1),2)+33)=8,DATE(AnoCalendario,8,1)-WEEKDAY(DATE(AnoCalendario,8,1),2)+33,"")</f>
        <v>46262</v>
      </c>
      <c r="O30" s="6">
        <f>IF(MONTH(DATE(AnoCalendario,8,1)-WEEKDAY(DATE(AnoCalendario,8,1),2)+34)=8,DATE(AnoCalendario,8,1)-WEEKDAY(DATE(AnoCalendario,8,1),2)+34,"")</f>
        <v>46263</v>
      </c>
      <c r="P30" s="6">
        <f>IF(MONTH(DATE(AnoCalendario,8,1)-WEEKDAY(DATE(AnoCalendario,8,1),2)+35)=8,DATE(AnoCalendario,8,1)-WEEKDAY(DATE(AnoCalendario,8,1),2)+35,"")</f>
        <v>46264</v>
      </c>
      <c r="R30" s="6">
        <f>IF(MONTH(DATE(AnoCalendario,9,1)-WEEKDAY(DATE(AnoCalendario,9,1),2)+29)=9,DATE(AnoCalendario,9,1)-WEEKDAY(DATE(AnoCalendario,9,1),2)+29,"")</f>
        <v>46293</v>
      </c>
      <c r="S30" s="6">
        <f>IF(MONTH(DATE(AnoCalendario,9,1)-WEEKDAY(DATE(AnoCalendario,9,1),2)+30)=9,DATE(AnoCalendario,9,1)-WEEKDAY(DATE(AnoCalendario,9,1),2)+30,"")</f>
        <v>46294</v>
      </c>
      <c r="T30" s="6">
        <f>IF(MONTH(DATE(AnoCalendario,9,1)-WEEKDAY(DATE(AnoCalendario,9,1),2)+31)=9,DATE(AnoCalendario,9,1)-WEEKDAY(DATE(AnoCalendario,9,1),2)+31,"")</f>
        <v>46295</v>
      </c>
      <c r="U30" s="6" t="str">
        <f>IF(MONTH(DATE(AnoCalendario,9,1)-WEEKDAY(DATE(AnoCalendario,9,1),2)+32)=9,DATE(AnoCalendario,9,1)-WEEKDAY(DATE(AnoCalendario,9,1),2)+32,"")</f>
        <v/>
      </c>
      <c r="V30" s="6" t="str">
        <f>IF(MONTH(DATE(AnoCalendario,9,1)-WEEKDAY(DATE(AnoCalendario,9,1),2)+33)=9,DATE(AnoCalendario,9,1)-WEEKDAY(DATE(AnoCalendario,9,1),2)+33,"")</f>
        <v/>
      </c>
      <c r="W30" s="6" t="str">
        <f>IF(MONTH(DATE(AnoCalendario,9,1)-WEEKDAY(DATE(AnoCalendario,9,1),2)+34)=9,DATE(AnoCalendario,9,1)-WEEKDAY(DATE(AnoCalendario,9,1),2)+34,"")</f>
        <v/>
      </c>
      <c r="X30" s="6" t="str">
        <f>IF(MONTH(DATE(AnoCalendario,9,1)-WEEKDAY(DATE(AnoCalendario,9,1),2)+35)=9,DATE(AnoCalendario,9,1)-WEEKDAY(DATE(AnoCalendario,9,1),2)+35,"")</f>
        <v/>
      </c>
    </row>
    <row r="31" spans="2:24" ht="16.5" customHeight="1" x14ac:dyDescent="0.3">
      <c r="B31" s="6" t="str">
        <f>IF(MONTH(DATE(AnoCalendario,7,1)-WEEKDAY(DATE(AnoCalendario,7,1),2)+36)=7,DATE(AnoCalendario,7,1)-WEEKDAY(DATE(AnoCalendario,7,1),2)+36,"")</f>
        <v/>
      </c>
      <c r="C31" s="6" t="str">
        <f>IF(MONTH(DATE(AnoCalendario,7,1)-WEEKDAY(DATE(AnoCalendario,7,1),2)+37)=7,DATE(AnoCalendario,7,1)-WEEKDAY(DATE(AnoCalendario,7,1),2)+37,"")</f>
        <v/>
      </c>
      <c r="D31" s="6" t="str">
        <f>IF(MONTH(DATE(AnoCalendario,7,1)-WEEKDAY(DATE(AnoCalendario,7,1),2)+38)=7,DATE(AnoCalendario,7,1)-WEEKDAY(DATE(AnoCalendario,7,1),2)+38,"")</f>
        <v/>
      </c>
      <c r="E31" s="6" t="str">
        <f>IF(MONTH(DATE(AnoCalendario,7,1)-WEEKDAY(DATE(AnoCalendario,7,1),2)+39)=7,DATE(AnoCalendario,7,1)-WEEKDAY(DATE(AnoCalendario,7,1),2)+39,"")</f>
        <v/>
      </c>
      <c r="F31" s="6" t="str">
        <f>IF(MONTH(DATE(AnoCalendario,7,1)-WEEKDAY(DATE(AnoCalendario,7,1),2)+40)=7,DATE(AnoCalendario,7,1)-WEEKDAY(DATE(AnoCalendario,7,1),2)+40,"")</f>
        <v/>
      </c>
      <c r="G31" s="6" t="str">
        <f>IF(MONTH(DATE(AnoCalendario,7,1)-WEEKDAY(DATE(AnoCalendario,7,1),2)+41)=7,DATE(AnoCalendario,7,1)-WEEKDAY(DATE(AnoCalendario,7,1),2)+41,"")</f>
        <v/>
      </c>
      <c r="H31" s="6" t="str">
        <f>IF(MONTH(DATE(AnoCalendario,7,1)-WEEKDAY(DATE(AnoCalendario,7,1),2)+42)=7,DATE(AnoCalendario,7,1)-WEEKDAY(DATE(AnoCalendario,7,1),2)+42,"")</f>
        <v/>
      </c>
      <c r="J31" s="6">
        <f>IF(MONTH(DATE(AnoCalendario,8,1)-WEEKDAY(DATE(AnoCalendario,8,1),2)+36)=8,DATE(AnoCalendario,8,1)-WEEKDAY(DATE(AnoCalendario,8,1),2)+36,"")</f>
        <v>46265</v>
      </c>
      <c r="K31" s="6" t="str">
        <f>IF(MONTH(DATE(AnoCalendario,8,1)-WEEKDAY(DATE(AnoCalendario,8,1),2)+37)=8,DATE(AnoCalendario,8,1)-WEEKDAY(DATE(AnoCalendario,8,1),2)+37,"")</f>
        <v/>
      </c>
      <c r="L31" s="6" t="str">
        <f>IF(MONTH(DATE(AnoCalendario,8,1)-WEEKDAY(DATE(AnoCalendario,8,1),2)+38)=8,DATE(AnoCalendario,8,1)-WEEKDAY(DATE(AnoCalendario,8,1),2)+38,"")</f>
        <v/>
      </c>
      <c r="M31" s="6" t="str">
        <f>IF(MONTH(DATE(AnoCalendario,8,1)-WEEKDAY(DATE(AnoCalendario,8,1),2)+39)=8,DATE(AnoCalendario,8,1)-WEEKDAY(DATE(AnoCalendario,8,1),2)+39,"")</f>
        <v/>
      </c>
      <c r="N31" s="6" t="str">
        <f>IF(MONTH(DATE(AnoCalendario,8,1)-WEEKDAY(DATE(AnoCalendario,8,1),2)+40)=8,DATE(AnoCalendario,8,1)-WEEKDAY(DATE(AnoCalendario,8,1),2)+40,"")</f>
        <v/>
      </c>
      <c r="O31" s="6" t="str">
        <f>IF(MONTH(DATE(AnoCalendario,8,1)-WEEKDAY(DATE(AnoCalendario,8,1),2)+41)=8,DATE(AnoCalendario,8,1)-WEEKDAY(DATE(AnoCalendario,8,1),2)+41,"")</f>
        <v/>
      </c>
      <c r="P31" s="6" t="str">
        <f>IF(MONTH(DATE(AnoCalendario,8,1)-WEEKDAY(DATE(AnoCalendario,8,1),2)+42)=8,DATE(AnoCalendario,8,1)-WEEKDAY(DATE(AnoCalendario,8,1),2)+42,"")</f>
        <v/>
      </c>
      <c r="R31" s="6" t="str">
        <f>IF(MONTH(DATE(AnoCalendario,9,1)-WEEKDAY(DATE(AnoCalendario,9,1),2)+36)=9,DATE(AnoCalendario,9,1)-WEEKDAY(DATE(AnoCalendario,9,1),2)+36,"")</f>
        <v/>
      </c>
      <c r="S31" s="6" t="str">
        <f>IF(MONTH(DATE(AnoCalendario,9,1)-WEEKDAY(DATE(AnoCalendario,9,1),2)+37)=9,DATE(AnoCalendario,9,1)-WEEKDAY(DATE(AnoCalendario,9,1),2)+37,"")</f>
        <v/>
      </c>
      <c r="T31" s="6" t="str">
        <f>IF(MONTH(DATE(AnoCalendario,9,1)-WEEKDAY(DATE(AnoCalendario,9,1),2)+38)=9,DATE(AnoCalendario,9,1)-WEEKDAY(DATE(AnoCalendario,9,1),2)+38,"")</f>
        <v/>
      </c>
      <c r="U31" s="6" t="str">
        <f>IF(MONTH(DATE(AnoCalendario,9,1)-WEEKDAY(DATE(AnoCalendario,9,1),2)+39)=9,DATE(AnoCalendario,9,1)-WEEKDAY(DATE(AnoCalendario,9,1),2)+39,"")</f>
        <v/>
      </c>
      <c r="V31" s="6" t="str">
        <f>IF(MONTH(DATE(AnoCalendario,9,1)-WEEKDAY(DATE(AnoCalendario,9,1),2)+40)=9,DATE(AnoCalendario,9,1)-WEEKDAY(DATE(AnoCalendario,9,1),2)+40,"")</f>
        <v/>
      </c>
      <c r="W31" s="6" t="str">
        <f>IF(MONTH(DATE(AnoCalendario,9,1)-WEEKDAY(DATE(AnoCalendario,9,1),2)+41)=9,DATE(AnoCalendario,9,1)-WEEKDAY(DATE(AnoCalendario,9,1),2)+41,"")</f>
        <v/>
      </c>
      <c r="X31" s="6" t="str">
        <f>IF(MONTH(DATE(AnoCalendario,9,1)-WEEKDAY(DATE(AnoCalendario,9,1),2)+42)=9,DATE(AnoCalendario,9,1)-WEEKDAY(DATE(AnoCalendario,9,1),2)+42,"")</f>
        <v/>
      </c>
    </row>
    <row r="32" spans="2:24" ht="12.75" customHeight="1" x14ac:dyDescent="0.3">
      <c r="B32" s="36" t="str">
        <f>"Eventos: "&amp;COUNTIFS(Eventos!$A$2:$A$999,"&gt;="&amp;DATE(AnoCalendario,7,1),Eventos!$A$2:$A$999,"&lt;"&amp;DATE(AnoCalendario,8,1),Eventos!$H$2:$H$999,"&lt;&gt;Cancelado")</f>
        <v>Eventos: 0</v>
      </c>
      <c r="C32" s="36"/>
      <c r="D32" s="36"/>
      <c r="E32" s="36"/>
      <c r="F32" s="36"/>
      <c r="G32" s="36"/>
      <c r="H32" s="36"/>
      <c r="J32" s="36" t="str">
        <f>"Eventos: "&amp;COUNTIFS(Eventos!$A$2:$A$999,"&gt;="&amp;DATE(AnoCalendario,8,1),Eventos!$A$2:$A$999,"&lt;"&amp;DATE(AnoCalendario,9,1),Eventos!$H$2:$H$999,"&lt;&gt;Cancelado")</f>
        <v>Eventos: 0</v>
      </c>
      <c r="K32" s="36"/>
      <c r="L32" s="36"/>
      <c r="M32" s="36"/>
      <c r="N32" s="36"/>
      <c r="O32" s="36"/>
      <c r="P32" s="36"/>
      <c r="R32" s="36" t="str">
        <f>"Eventos: "&amp;COUNTIFS(Eventos!$A$2:$A$999,"&gt;="&amp;DATE(AnoCalendario,9,1),Eventos!$A$2:$A$999,"&lt;"&amp;DATE(AnoCalendario,10,1),Eventos!$H$2:$H$999,"&lt;&gt;Cancelado")</f>
        <v>Eventos: 2</v>
      </c>
      <c r="S32" s="36"/>
      <c r="T32" s="36"/>
      <c r="U32" s="36"/>
      <c r="V32" s="36"/>
      <c r="W32" s="36"/>
      <c r="X32" s="36"/>
    </row>
    <row r="33" spans="2:24" ht="7.5" customHeight="1" x14ac:dyDescent="0.3"/>
    <row r="34" spans="2:24" ht="18" customHeight="1" x14ac:dyDescent="0.3">
      <c r="B34" s="35" t="str">
        <f>"Outubro "&amp;AnoCalendario</f>
        <v>Outubro 2026</v>
      </c>
      <c r="C34" s="35"/>
      <c r="D34" s="35"/>
      <c r="E34" s="35"/>
      <c r="F34" s="35"/>
      <c r="G34" s="35"/>
      <c r="H34" s="35"/>
      <c r="J34" s="35" t="str">
        <f>"Novembro "&amp;AnoCalendario</f>
        <v>Novembro 2026</v>
      </c>
      <c r="K34" s="35"/>
      <c r="L34" s="35"/>
      <c r="M34" s="35"/>
      <c r="N34" s="35"/>
      <c r="O34" s="35"/>
      <c r="P34" s="35"/>
      <c r="R34" s="35" t="str">
        <f>"Dezembro "&amp;AnoCalendario</f>
        <v>Dezembro 2026</v>
      </c>
      <c r="S34" s="35"/>
      <c r="T34" s="35"/>
      <c r="U34" s="35"/>
      <c r="V34" s="35"/>
      <c r="W34" s="35"/>
      <c r="X34" s="35"/>
    </row>
    <row r="35" spans="2:24" ht="15" customHeight="1" x14ac:dyDescent="0.3">
      <c r="B35" s="3" t="s">
        <v>5</v>
      </c>
      <c r="C35" s="3" t="s">
        <v>6</v>
      </c>
      <c r="D35" s="3" t="s">
        <v>7</v>
      </c>
      <c r="E35" s="3" t="s">
        <v>8</v>
      </c>
      <c r="F35" s="3" t="s">
        <v>9</v>
      </c>
      <c r="G35" s="4" t="s">
        <v>10</v>
      </c>
      <c r="H35" s="4" t="s">
        <v>11</v>
      </c>
      <c r="J35" s="3" t="s">
        <v>5</v>
      </c>
      <c r="K35" s="3" t="s">
        <v>6</v>
      </c>
      <c r="L35" s="3" t="s">
        <v>7</v>
      </c>
      <c r="M35" s="3" t="s">
        <v>8</v>
      </c>
      <c r="N35" s="3" t="s">
        <v>9</v>
      </c>
      <c r="O35" s="4" t="s">
        <v>10</v>
      </c>
      <c r="P35" s="4" t="s">
        <v>11</v>
      </c>
      <c r="R35" s="3" t="s">
        <v>5</v>
      </c>
      <c r="S35" s="3" t="s">
        <v>6</v>
      </c>
      <c r="T35" s="3" t="s">
        <v>7</v>
      </c>
      <c r="U35" s="3" t="s">
        <v>8</v>
      </c>
      <c r="V35" s="3" t="s">
        <v>9</v>
      </c>
      <c r="W35" s="4" t="s">
        <v>10</v>
      </c>
      <c r="X35" s="4" t="s">
        <v>11</v>
      </c>
    </row>
    <row r="36" spans="2:24" ht="16.5" customHeight="1" x14ac:dyDescent="0.3">
      <c r="B36" s="6" t="str">
        <f>IF(MONTH(DATE(AnoCalendario,10,1)-WEEKDAY(DATE(AnoCalendario,10,1),2)+1)=10,DATE(AnoCalendario,10,1)-WEEKDAY(DATE(AnoCalendario,10,1),2)+1,"")</f>
        <v/>
      </c>
      <c r="C36" s="6" t="str">
        <f>IF(MONTH(DATE(AnoCalendario,10,1)-WEEKDAY(DATE(AnoCalendario,10,1),2)+2)=10,DATE(AnoCalendario,10,1)-WEEKDAY(DATE(AnoCalendario,10,1),2)+2,"")</f>
        <v/>
      </c>
      <c r="D36" s="6" t="str">
        <f>IF(MONTH(DATE(AnoCalendario,10,1)-WEEKDAY(DATE(AnoCalendario,10,1),2)+3)=10,DATE(AnoCalendario,10,1)-WEEKDAY(DATE(AnoCalendario,10,1),2)+3,"")</f>
        <v/>
      </c>
      <c r="E36" s="6">
        <f>IF(MONTH(DATE(AnoCalendario,10,1)-WEEKDAY(DATE(AnoCalendario,10,1),2)+4)=10,DATE(AnoCalendario,10,1)-WEEKDAY(DATE(AnoCalendario,10,1),2)+4,"")</f>
        <v>46296</v>
      </c>
      <c r="F36" s="6">
        <f>IF(MONTH(DATE(AnoCalendario,10,1)-WEEKDAY(DATE(AnoCalendario,10,1),2)+5)=10,DATE(AnoCalendario,10,1)-WEEKDAY(DATE(AnoCalendario,10,1),2)+5,"")</f>
        <v>46297</v>
      </c>
      <c r="G36" s="6">
        <f>IF(MONTH(DATE(AnoCalendario,10,1)-WEEKDAY(DATE(AnoCalendario,10,1),2)+6)=10,DATE(AnoCalendario,10,1)-WEEKDAY(DATE(AnoCalendario,10,1),2)+6,"")</f>
        <v>46298</v>
      </c>
      <c r="H36" s="6">
        <f>IF(MONTH(DATE(AnoCalendario,10,1)-WEEKDAY(DATE(AnoCalendario,10,1),2)+7)=10,DATE(AnoCalendario,10,1)-WEEKDAY(DATE(AnoCalendario,10,1),2)+7,"")</f>
        <v>46299</v>
      </c>
      <c r="J36" s="6" t="str">
        <f>IF(MONTH(DATE(AnoCalendario,11,1)-WEEKDAY(DATE(AnoCalendario,11,1),2)+1)=11,DATE(AnoCalendario,11,1)-WEEKDAY(DATE(AnoCalendario,11,1),2)+1,"")</f>
        <v/>
      </c>
      <c r="K36" s="6" t="str">
        <f>IF(MONTH(DATE(AnoCalendario,11,1)-WEEKDAY(DATE(AnoCalendario,11,1),2)+2)=11,DATE(AnoCalendario,11,1)-WEEKDAY(DATE(AnoCalendario,11,1),2)+2,"")</f>
        <v/>
      </c>
      <c r="L36" s="6" t="str">
        <f>IF(MONTH(DATE(AnoCalendario,11,1)-WEEKDAY(DATE(AnoCalendario,11,1),2)+3)=11,DATE(AnoCalendario,11,1)-WEEKDAY(DATE(AnoCalendario,11,1),2)+3,"")</f>
        <v/>
      </c>
      <c r="M36" s="6" t="str">
        <f>IF(MONTH(DATE(AnoCalendario,11,1)-WEEKDAY(DATE(AnoCalendario,11,1),2)+4)=11,DATE(AnoCalendario,11,1)-WEEKDAY(DATE(AnoCalendario,11,1),2)+4,"")</f>
        <v/>
      </c>
      <c r="N36" s="6" t="str">
        <f>IF(MONTH(DATE(AnoCalendario,11,1)-WEEKDAY(DATE(AnoCalendario,11,1),2)+5)=11,DATE(AnoCalendario,11,1)-WEEKDAY(DATE(AnoCalendario,11,1),2)+5,"")</f>
        <v/>
      </c>
      <c r="O36" s="6" t="str">
        <f>IF(MONTH(DATE(AnoCalendario,11,1)-WEEKDAY(DATE(AnoCalendario,11,1),2)+6)=11,DATE(AnoCalendario,11,1)-WEEKDAY(DATE(AnoCalendario,11,1),2)+6,"")</f>
        <v/>
      </c>
      <c r="P36" s="6">
        <f>IF(MONTH(DATE(AnoCalendario,11,1)-WEEKDAY(DATE(AnoCalendario,11,1),2)+7)=11,DATE(AnoCalendario,11,1)-WEEKDAY(DATE(AnoCalendario,11,1),2)+7,"")</f>
        <v>46327</v>
      </c>
      <c r="R36" s="6" t="str">
        <f>IF(MONTH(DATE(AnoCalendario,12,1)-WEEKDAY(DATE(AnoCalendario,12,1),2)+1)=12,DATE(AnoCalendario,12,1)-WEEKDAY(DATE(AnoCalendario,12,1),2)+1,"")</f>
        <v/>
      </c>
      <c r="S36" s="6">
        <f>IF(MONTH(DATE(AnoCalendario,12,1)-WEEKDAY(DATE(AnoCalendario,12,1),2)+2)=12,DATE(AnoCalendario,12,1)-WEEKDAY(DATE(AnoCalendario,12,1),2)+2,"")</f>
        <v>46357</v>
      </c>
      <c r="T36" s="6">
        <f>IF(MONTH(DATE(AnoCalendario,12,1)-WEEKDAY(DATE(AnoCalendario,12,1),2)+3)=12,DATE(AnoCalendario,12,1)-WEEKDAY(DATE(AnoCalendario,12,1),2)+3,"")</f>
        <v>46358</v>
      </c>
      <c r="U36" s="6">
        <f>IF(MONTH(DATE(AnoCalendario,12,1)-WEEKDAY(DATE(AnoCalendario,12,1),2)+4)=12,DATE(AnoCalendario,12,1)-WEEKDAY(DATE(AnoCalendario,12,1),2)+4,"")</f>
        <v>46359</v>
      </c>
      <c r="V36" s="6">
        <f>IF(MONTH(DATE(AnoCalendario,12,1)-WEEKDAY(DATE(AnoCalendario,12,1),2)+5)=12,DATE(AnoCalendario,12,1)-WEEKDAY(DATE(AnoCalendario,12,1),2)+5,"")</f>
        <v>46360</v>
      </c>
      <c r="W36" s="6">
        <f>IF(MONTH(DATE(AnoCalendario,12,1)-WEEKDAY(DATE(AnoCalendario,12,1),2)+6)=12,DATE(AnoCalendario,12,1)-WEEKDAY(DATE(AnoCalendario,12,1),2)+6,"")</f>
        <v>46361</v>
      </c>
      <c r="X36" s="6">
        <f>IF(MONTH(DATE(AnoCalendario,12,1)-WEEKDAY(DATE(AnoCalendario,12,1),2)+7)=12,DATE(AnoCalendario,12,1)-WEEKDAY(DATE(AnoCalendario,12,1),2)+7,"")</f>
        <v>46362</v>
      </c>
    </row>
    <row r="37" spans="2:24" ht="16.5" customHeight="1" x14ac:dyDescent="0.3">
      <c r="B37" s="6">
        <f>IF(MONTH(DATE(AnoCalendario,10,1)-WEEKDAY(DATE(AnoCalendario,10,1),2)+8)=10,DATE(AnoCalendario,10,1)-WEEKDAY(DATE(AnoCalendario,10,1),2)+8,"")</f>
        <v>46300</v>
      </c>
      <c r="C37" s="6">
        <f>IF(MONTH(DATE(AnoCalendario,10,1)-WEEKDAY(DATE(AnoCalendario,10,1),2)+9)=10,DATE(AnoCalendario,10,1)-WEEKDAY(DATE(AnoCalendario,10,1),2)+9,"")</f>
        <v>46301</v>
      </c>
      <c r="D37" s="6">
        <f>IF(MONTH(DATE(AnoCalendario,10,1)-WEEKDAY(DATE(AnoCalendario,10,1),2)+10)=10,DATE(AnoCalendario,10,1)-WEEKDAY(DATE(AnoCalendario,10,1),2)+10,"")</f>
        <v>46302</v>
      </c>
      <c r="E37" s="6">
        <f>IF(MONTH(DATE(AnoCalendario,10,1)-WEEKDAY(DATE(AnoCalendario,10,1),2)+11)=10,DATE(AnoCalendario,10,1)-WEEKDAY(DATE(AnoCalendario,10,1),2)+11,"")</f>
        <v>46303</v>
      </c>
      <c r="F37" s="6">
        <f>IF(MONTH(DATE(AnoCalendario,10,1)-WEEKDAY(DATE(AnoCalendario,10,1),2)+12)=10,DATE(AnoCalendario,10,1)-WEEKDAY(DATE(AnoCalendario,10,1),2)+12,"")</f>
        <v>46304</v>
      </c>
      <c r="G37" s="6">
        <f>IF(MONTH(DATE(AnoCalendario,10,1)-WEEKDAY(DATE(AnoCalendario,10,1),2)+13)=10,DATE(AnoCalendario,10,1)-WEEKDAY(DATE(AnoCalendario,10,1),2)+13,"")</f>
        <v>46305</v>
      </c>
      <c r="H37" s="6">
        <f>IF(MONTH(DATE(AnoCalendario,10,1)-WEEKDAY(DATE(AnoCalendario,10,1),2)+14)=10,DATE(AnoCalendario,10,1)-WEEKDAY(DATE(AnoCalendario,10,1),2)+14,"")</f>
        <v>46306</v>
      </c>
      <c r="J37" s="6">
        <f>IF(MONTH(DATE(AnoCalendario,11,1)-WEEKDAY(DATE(AnoCalendario,11,1),2)+8)=11,DATE(AnoCalendario,11,1)-WEEKDAY(DATE(AnoCalendario,11,1),2)+8,"")</f>
        <v>46328</v>
      </c>
      <c r="K37" s="6">
        <f>IF(MONTH(DATE(AnoCalendario,11,1)-WEEKDAY(DATE(AnoCalendario,11,1),2)+9)=11,DATE(AnoCalendario,11,1)-WEEKDAY(DATE(AnoCalendario,11,1),2)+9,"")</f>
        <v>46329</v>
      </c>
      <c r="L37" s="6">
        <f>IF(MONTH(DATE(AnoCalendario,11,1)-WEEKDAY(DATE(AnoCalendario,11,1),2)+10)=11,DATE(AnoCalendario,11,1)-WEEKDAY(DATE(AnoCalendario,11,1),2)+10,"")</f>
        <v>46330</v>
      </c>
      <c r="M37" s="6">
        <f>IF(MONTH(DATE(AnoCalendario,11,1)-WEEKDAY(DATE(AnoCalendario,11,1),2)+11)=11,DATE(AnoCalendario,11,1)-WEEKDAY(DATE(AnoCalendario,11,1),2)+11,"")</f>
        <v>46331</v>
      </c>
      <c r="N37" s="6">
        <f>IF(MONTH(DATE(AnoCalendario,11,1)-WEEKDAY(DATE(AnoCalendario,11,1),2)+12)=11,DATE(AnoCalendario,11,1)-WEEKDAY(DATE(AnoCalendario,11,1),2)+12,"")</f>
        <v>46332</v>
      </c>
      <c r="O37" s="6">
        <f>IF(MONTH(DATE(AnoCalendario,11,1)-WEEKDAY(DATE(AnoCalendario,11,1),2)+13)=11,DATE(AnoCalendario,11,1)-WEEKDAY(DATE(AnoCalendario,11,1),2)+13,"")</f>
        <v>46333</v>
      </c>
      <c r="P37" s="6">
        <f>IF(MONTH(DATE(AnoCalendario,11,1)-WEEKDAY(DATE(AnoCalendario,11,1),2)+14)=11,DATE(AnoCalendario,11,1)-WEEKDAY(DATE(AnoCalendario,11,1),2)+14,"")</f>
        <v>46334</v>
      </c>
      <c r="R37" s="6">
        <f>IF(MONTH(DATE(AnoCalendario,12,1)-WEEKDAY(DATE(AnoCalendario,12,1),2)+8)=12,DATE(AnoCalendario,12,1)-WEEKDAY(DATE(AnoCalendario,12,1),2)+8,"")</f>
        <v>46363</v>
      </c>
      <c r="S37" s="6">
        <f>IF(MONTH(DATE(AnoCalendario,12,1)-WEEKDAY(DATE(AnoCalendario,12,1),2)+9)=12,DATE(AnoCalendario,12,1)-WEEKDAY(DATE(AnoCalendario,12,1),2)+9,"")</f>
        <v>46364</v>
      </c>
      <c r="T37" s="6">
        <f>IF(MONTH(DATE(AnoCalendario,12,1)-WEEKDAY(DATE(AnoCalendario,12,1),2)+10)=12,DATE(AnoCalendario,12,1)-WEEKDAY(DATE(AnoCalendario,12,1),2)+10,"")</f>
        <v>46365</v>
      </c>
      <c r="U37" s="6">
        <f>IF(MONTH(DATE(AnoCalendario,12,1)-WEEKDAY(DATE(AnoCalendario,12,1),2)+11)=12,DATE(AnoCalendario,12,1)-WEEKDAY(DATE(AnoCalendario,12,1),2)+11,"")</f>
        <v>46366</v>
      </c>
      <c r="V37" s="6">
        <f>IF(MONTH(DATE(AnoCalendario,12,1)-WEEKDAY(DATE(AnoCalendario,12,1),2)+12)=12,DATE(AnoCalendario,12,1)-WEEKDAY(DATE(AnoCalendario,12,1),2)+12,"")</f>
        <v>46367</v>
      </c>
      <c r="W37" s="6">
        <f>IF(MONTH(DATE(AnoCalendario,12,1)-WEEKDAY(DATE(AnoCalendario,12,1),2)+13)=12,DATE(AnoCalendario,12,1)-WEEKDAY(DATE(AnoCalendario,12,1),2)+13,"")</f>
        <v>46368</v>
      </c>
      <c r="X37" s="6">
        <f>IF(MONTH(DATE(AnoCalendario,12,1)-WEEKDAY(DATE(AnoCalendario,12,1),2)+14)=12,DATE(AnoCalendario,12,1)-WEEKDAY(DATE(AnoCalendario,12,1),2)+14,"")</f>
        <v>46369</v>
      </c>
    </row>
    <row r="38" spans="2:24" ht="16.5" customHeight="1" x14ac:dyDescent="0.3">
      <c r="B38" s="6">
        <f>IF(MONTH(DATE(AnoCalendario,10,1)-WEEKDAY(DATE(AnoCalendario,10,1),2)+15)=10,DATE(AnoCalendario,10,1)-WEEKDAY(DATE(AnoCalendario,10,1),2)+15,"")</f>
        <v>46307</v>
      </c>
      <c r="C38" s="6">
        <f>IF(MONTH(DATE(AnoCalendario,10,1)-WEEKDAY(DATE(AnoCalendario,10,1),2)+16)=10,DATE(AnoCalendario,10,1)-WEEKDAY(DATE(AnoCalendario,10,1),2)+16,"")</f>
        <v>46308</v>
      </c>
      <c r="D38" s="6">
        <f>IF(MONTH(DATE(AnoCalendario,10,1)-WEEKDAY(DATE(AnoCalendario,10,1),2)+17)=10,DATE(AnoCalendario,10,1)-WEEKDAY(DATE(AnoCalendario,10,1),2)+17,"")</f>
        <v>46309</v>
      </c>
      <c r="E38" s="6">
        <f>IF(MONTH(DATE(AnoCalendario,10,1)-WEEKDAY(DATE(AnoCalendario,10,1),2)+18)=10,DATE(AnoCalendario,10,1)-WEEKDAY(DATE(AnoCalendario,10,1),2)+18,"")</f>
        <v>46310</v>
      </c>
      <c r="F38" s="6">
        <f>IF(MONTH(DATE(AnoCalendario,10,1)-WEEKDAY(DATE(AnoCalendario,10,1),2)+19)=10,DATE(AnoCalendario,10,1)-WEEKDAY(DATE(AnoCalendario,10,1),2)+19,"")</f>
        <v>46311</v>
      </c>
      <c r="G38" s="6">
        <f>IF(MONTH(DATE(AnoCalendario,10,1)-WEEKDAY(DATE(AnoCalendario,10,1),2)+20)=10,DATE(AnoCalendario,10,1)-WEEKDAY(DATE(AnoCalendario,10,1),2)+20,"")</f>
        <v>46312</v>
      </c>
      <c r="H38" s="6">
        <f>IF(MONTH(DATE(AnoCalendario,10,1)-WEEKDAY(DATE(AnoCalendario,10,1),2)+21)=10,DATE(AnoCalendario,10,1)-WEEKDAY(DATE(AnoCalendario,10,1),2)+21,"")</f>
        <v>46313</v>
      </c>
      <c r="J38" s="6">
        <f>IF(MONTH(DATE(AnoCalendario,11,1)-WEEKDAY(DATE(AnoCalendario,11,1),2)+15)=11,DATE(AnoCalendario,11,1)-WEEKDAY(DATE(AnoCalendario,11,1),2)+15,"")</f>
        <v>46335</v>
      </c>
      <c r="K38" s="6">
        <f>IF(MONTH(DATE(AnoCalendario,11,1)-WEEKDAY(DATE(AnoCalendario,11,1),2)+16)=11,DATE(AnoCalendario,11,1)-WEEKDAY(DATE(AnoCalendario,11,1),2)+16,"")</f>
        <v>46336</v>
      </c>
      <c r="L38" s="6">
        <f>IF(MONTH(DATE(AnoCalendario,11,1)-WEEKDAY(DATE(AnoCalendario,11,1),2)+17)=11,DATE(AnoCalendario,11,1)-WEEKDAY(DATE(AnoCalendario,11,1),2)+17,"")</f>
        <v>46337</v>
      </c>
      <c r="M38" s="6">
        <f>IF(MONTH(DATE(AnoCalendario,11,1)-WEEKDAY(DATE(AnoCalendario,11,1),2)+18)=11,DATE(AnoCalendario,11,1)-WEEKDAY(DATE(AnoCalendario,11,1),2)+18,"")</f>
        <v>46338</v>
      </c>
      <c r="N38" s="6">
        <f>IF(MONTH(DATE(AnoCalendario,11,1)-WEEKDAY(DATE(AnoCalendario,11,1),2)+19)=11,DATE(AnoCalendario,11,1)-WEEKDAY(DATE(AnoCalendario,11,1),2)+19,"")</f>
        <v>46339</v>
      </c>
      <c r="O38" s="6">
        <f>IF(MONTH(DATE(AnoCalendario,11,1)-WEEKDAY(DATE(AnoCalendario,11,1),2)+20)=11,DATE(AnoCalendario,11,1)-WEEKDAY(DATE(AnoCalendario,11,1),2)+20,"")</f>
        <v>46340</v>
      </c>
      <c r="P38" s="6">
        <f>IF(MONTH(DATE(AnoCalendario,11,1)-WEEKDAY(DATE(AnoCalendario,11,1),2)+21)=11,DATE(AnoCalendario,11,1)-WEEKDAY(DATE(AnoCalendario,11,1),2)+21,"")</f>
        <v>46341</v>
      </c>
      <c r="R38" s="6">
        <f>IF(MONTH(DATE(AnoCalendario,12,1)-WEEKDAY(DATE(AnoCalendario,12,1),2)+15)=12,DATE(AnoCalendario,12,1)-WEEKDAY(DATE(AnoCalendario,12,1),2)+15,"")</f>
        <v>46370</v>
      </c>
      <c r="S38" s="6">
        <f>IF(MONTH(DATE(AnoCalendario,12,1)-WEEKDAY(DATE(AnoCalendario,12,1),2)+16)=12,DATE(AnoCalendario,12,1)-WEEKDAY(DATE(AnoCalendario,12,1),2)+16,"")</f>
        <v>46371</v>
      </c>
      <c r="T38" s="6">
        <f>IF(MONTH(DATE(AnoCalendario,12,1)-WEEKDAY(DATE(AnoCalendario,12,1),2)+17)=12,DATE(AnoCalendario,12,1)-WEEKDAY(DATE(AnoCalendario,12,1),2)+17,"")</f>
        <v>46372</v>
      </c>
      <c r="U38" s="6">
        <f>IF(MONTH(DATE(AnoCalendario,12,1)-WEEKDAY(DATE(AnoCalendario,12,1),2)+18)=12,DATE(AnoCalendario,12,1)-WEEKDAY(DATE(AnoCalendario,12,1),2)+18,"")</f>
        <v>46373</v>
      </c>
      <c r="V38" s="6">
        <f>IF(MONTH(DATE(AnoCalendario,12,1)-WEEKDAY(DATE(AnoCalendario,12,1),2)+19)=12,DATE(AnoCalendario,12,1)-WEEKDAY(DATE(AnoCalendario,12,1),2)+19,"")</f>
        <v>46374</v>
      </c>
      <c r="W38" s="6">
        <f>IF(MONTH(DATE(AnoCalendario,12,1)-WEEKDAY(DATE(AnoCalendario,12,1),2)+20)=12,DATE(AnoCalendario,12,1)-WEEKDAY(DATE(AnoCalendario,12,1),2)+20,"")</f>
        <v>46375</v>
      </c>
      <c r="X38" s="6">
        <f>IF(MONTH(DATE(AnoCalendario,12,1)-WEEKDAY(DATE(AnoCalendario,12,1),2)+21)=12,DATE(AnoCalendario,12,1)-WEEKDAY(DATE(AnoCalendario,12,1),2)+21,"")</f>
        <v>46376</v>
      </c>
    </row>
    <row r="39" spans="2:24" ht="16.5" customHeight="1" x14ac:dyDescent="0.3">
      <c r="B39" s="6">
        <f>IF(MONTH(DATE(AnoCalendario,10,1)-WEEKDAY(DATE(AnoCalendario,10,1),2)+22)=10,DATE(AnoCalendario,10,1)-WEEKDAY(DATE(AnoCalendario,10,1),2)+22,"")</f>
        <v>46314</v>
      </c>
      <c r="C39" s="6">
        <f>IF(MONTH(DATE(AnoCalendario,10,1)-WEEKDAY(DATE(AnoCalendario,10,1),2)+23)=10,DATE(AnoCalendario,10,1)-WEEKDAY(DATE(AnoCalendario,10,1),2)+23,"")</f>
        <v>46315</v>
      </c>
      <c r="D39" s="6">
        <f>IF(MONTH(DATE(AnoCalendario,10,1)-WEEKDAY(DATE(AnoCalendario,10,1),2)+24)=10,DATE(AnoCalendario,10,1)-WEEKDAY(DATE(AnoCalendario,10,1),2)+24,"")</f>
        <v>46316</v>
      </c>
      <c r="E39" s="6">
        <f>IF(MONTH(DATE(AnoCalendario,10,1)-WEEKDAY(DATE(AnoCalendario,10,1),2)+25)=10,DATE(AnoCalendario,10,1)-WEEKDAY(DATE(AnoCalendario,10,1),2)+25,"")</f>
        <v>46317</v>
      </c>
      <c r="F39" s="6">
        <f>IF(MONTH(DATE(AnoCalendario,10,1)-WEEKDAY(DATE(AnoCalendario,10,1),2)+26)=10,DATE(AnoCalendario,10,1)-WEEKDAY(DATE(AnoCalendario,10,1),2)+26,"")</f>
        <v>46318</v>
      </c>
      <c r="G39" s="6">
        <f>IF(MONTH(DATE(AnoCalendario,10,1)-WEEKDAY(DATE(AnoCalendario,10,1),2)+27)=10,DATE(AnoCalendario,10,1)-WEEKDAY(DATE(AnoCalendario,10,1),2)+27,"")</f>
        <v>46319</v>
      </c>
      <c r="H39" s="6">
        <f>IF(MONTH(DATE(AnoCalendario,10,1)-WEEKDAY(DATE(AnoCalendario,10,1),2)+28)=10,DATE(AnoCalendario,10,1)-WEEKDAY(DATE(AnoCalendario,10,1),2)+28,"")</f>
        <v>46320</v>
      </c>
      <c r="J39" s="6">
        <f>IF(MONTH(DATE(AnoCalendario,11,1)-WEEKDAY(DATE(AnoCalendario,11,1),2)+22)=11,DATE(AnoCalendario,11,1)-WEEKDAY(DATE(AnoCalendario,11,1),2)+22,"")</f>
        <v>46342</v>
      </c>
      <c r="K39" s="6">
        <f>IF(MONTH(DATE(AnoCalendario,11,1)-WEEKDAY(DATE(AnoCalendario,11,1),2)+23)=11,DATE(AnoCalendario,11,1)-WEEKDAY(DATE(AnoCalendario,11,1),2)+23,"")</f>
        <v>46343</v>
      </c>
      <c r="L39" s="6">
        <f>IF(MONTH(DATE(AnoCalendario,11,1)-WEEKDAY(DATE(AnoCalendario,11,1),2)+24)=11,DATE(AnoCalendario,11,1)-WEEKDAY(DATE(AnoCalendario,11,1),2)+24,"")</f>
        <v>46344</v>
      </c>
      <c r="M39" s="6">
        <f>IF(MONTH(DATE(AnoCalendario,11,1)-WEEKDAY(DATE(AnoCalendario,11,1),2)+25)=11,DATE(AnoCalendario,11,1)-WEEKDAY(DATE(AnoCalendario,11,1),2)+25,"")</f>
        <v>46345</v>
      </c>
      <c r="N39" s="6">
        <f>IF(MONTH(DATE(AnoCalendario,11,1)-WEEKDAY(DATE(AnoCalendario,11,1),2)+26)=11,DATE(AnoCalendario,11,1)-WEEKDAY(DATE(AnoCalendario,11,1),2)+26,"")</f>
        <v>46346</v>
      </c>
      <c r="O39" s="6">
        <f>IF(MONTH(DATE(AnoCalendario,11,1)-WEEKDAY(DATE(AnoCalendario,11,1),2)+27)=11,DATE(AnoCalendario,11,1)-WEEKDAY(DATE(AnoCalendario,11,1),2)+27,"")</f>
        <v>46347</v>
      </c>
      <c r="P39" s="6">
        <f>IF(MONTH(DATE(AnoCalendario,11,1)-WEEKDAY(DATE(AnoCalendario,11,1),2)+28)=11,DATE(AnoCalendario,11,1)-WEEKDAY(DATE(AnoCalendario,11,1),2)+28,"")</f>
        <v>46348</v>
      </c>
      <c r="R39" s="6">
        <f>IF(MONTH(DATE(AnoCalendario,12,1)-WEEKDAY(DATE(AnoCalendario,12,1),2)+22)=12,DATE(AnoCalendario,12,1)-WEEKDAY(DATE(AnoCalendario,12,1),2)+22,"")</f>
        <v>46377</v>
      </c>
      <c r="S39" s="6">
        <f>IF(MONTH(DATE(AnoCalendario,12,1)-WEEKDAY(DATE(AnoCalendario,12,1),2)+23)=12,DATE(AnoCalendario,12,1)-WEEKDAY(DATE(AnoCalendario,12,1),2)+23,"")</f>
        <v>46378</v>
      </c>
      <c r="T39" s="6">
        <f>IF(MONTH(DATE(AnoCalendario,12,1)-WEEKDAY(DATE(AnoCalendario,12,1),2)+24)=12,DATE(AnoCalendario,12,1)-WEEKDAY(DATE(AnoCalendario,12,1),2)+24,"")</f>
        <v>46379</v>
      </c>
      <c r="U39" s="6">
        <f>IF(MONTH(DATE(AnoCalendario,12,1)-WEEKDAY(DATE(AnoCalendario,12,1),2)+25)=12,DATE(AnoCalendario,12,1)-WEEKDAY(DATE(AnoCalendario,12,1),2)+25,"")</f>
        <v>46380</v>
      </c>
      <c r="V39" s="6">
        <f>IF(MONTH(DATE(AnoCalendario,12,1)-WEEKDAY(DATE(AnoCalendario,12,1),2)+26)=12,DATE(AnoCalendario,12,1)-WEEKDAY(DATE(AnoCalendario,12,1),2)+26,"")</f>
        <v>46381</v>
      </c>
      <c r="W39" s="6">
        <f>IF(MONTH(DATE(AnoCalendario,12,1)-WEEKDAY(DATE(AnoCalendario,12,1),2)+27)=12,DATE(AnoCalendario,12,1)-WEEKDAY(DATE(AnoCalendario,12,1),2)+27,"")</f>
        <v>46382</v>
      </c>
      <c r="X39" s="6">
        <f>IF(MONTH(DATE(AnoCalendario,12,1)-WEEKDAY(DATE(AnoCalendario,12,1),2)+28)=12,DATE(AnoCalendario,12,1)-WEEKDAY(DATE(AnoCalendario,12,1),2)+28,"")</f>
        <v>46383</v>
      </c>
    </row>
    <row r="40" spans="2:24" ht="16.5" customHeight="1" x14ac:dyDescent="0.3">
      <c r="B40" s="6">
        <f>IF(MONTH(DATE(AnoCalendario,10,1)-WEEKDAY(DATE(AnoCalendario,10,1),2)+29)=10,DATE(AnoCalendario,10,1)-WEEKDAY(DATE(AnoCalendario,10,1),2)+29,"")</f>
        <v>46321</v>
      </c>
      <c r="C40" s="6">
        <f>IF(MONTH(DATE(AnoCalendario,10,1)-WEEKDAY(DATE(AnoCalendario,10,1),2)+30)=10,DATE(AnoCalendario,10,1)-WEEKDAY(DATE(AnoCalendario,10,1),2)+30,"")</f>
        <v>46322</v>
      </c>
      <c r="D40" s="6">
        <f>IF(MONTH(DATE(AnoCalendario,10,1)-WEEKDAY(DATE(AnoCalendario,10,1),2)+31)=10,DATE(AnoCalendario,10,1)-WEEKDAY(DATE(AnoCalendario,10,1),2)+31,"")</f>
        <v>46323</v>
      </c>
      <c r="E40" s="6">
        <f>IF(MONTH(DATE(AnoCalendario,10,1)-WEEKDAY(DATE(AnoCalendario,10,1),2)+32)=10,DATE(AnoCalendario,10,1)-WEEKDAY(DATE(AnoCalendario,10,1),2)+32,"")</f>
        <v>46324</v>
      </c>
      <c r="F40" s="6">
        <f>IF(MONTH(DATE(AnoCalendario,10,1)-WEEKDAY(DATE(AnoCalendario,10,1),2)+33)=10,DATE(AnoCalendario,10,1)-WEEKDAY(DATE(AnoCalendario,10,1),2)+33,"")</f>
        <v>46325</v>
      </c>
      <c r="G40" s="6">
        <f>IF(MONTH(DATE(AnoCalendario,10,1)-WEEKDAY(DATE(AnoCalendario,10,1),2)+34)=10,DATE(AnoCalendario,10,1)-WEEKDAY(DATE(AnoCalendario,10,1),2)+34,"")</f>
        <v>46326</v>
      </c>
      <c r="H40" s="6" t="str">
        <f>IF(MONTH(DATE(AnoCalendario,10,1)-WEEKDAY(DATE(AnoCalendario,10,1),2)+35)=10,DATE(AnoCalendario,10,1)-WEEKDAY(DATE(AnoCalendario,10,1),2)+35,"")</f>
        <v/>
      </c>
      <c r="J40" s="6">
        <f>IF(MONTH(DATE(AnoCalendario,11,1)-WEEKDAY(DATE(AnoCalendario,11,1),2)+29)=11,DATE(AnoCalendario,11,1)-WEEKDAY(DATE(AnoCalendario,11,1),2)+29,"")</f>
        <v>46349</v>
      </c>
      <c r="K40" s="6">
        <f>IF(MONTH(DATE(AnoCalendario,11,1)-WEEKDAY(DATE(AnoCalendario,11,1),2)+30)=11,DATE(AnoCalendario,11,1)-WEEKDAY(DATE(AnoCalendario,11,1),2)+30,"")</f>
        <v>46350</v>
      </c>
      <c r="L40" s="6">
        <f>IF(MONTH(DATE(AnoCalendario,11,1)-WEEKDAY(DATE(AnoCalendario,11,1),2)+31)=11,DATE(AnoCalendario,11,1)-WEEKDAY(DATE(AnoCalendario,11,1),2)+31,"")</f>
        <v>46351</v>
      </c>
      <c r="M40" s="6">
        <f>IF(MONTH(DATE(AnoCalendario,11,1)-WEEKDAY(DATE(AnoCalendario,11,1),2)+32)=11,DATE(AnoCalendario,11,1)-WEEKDAY(DATE(AnoCalendario,11,1),2)+32,"")</f>
        <v>46352</v>
      </c>
      <c r="N40" s="6">
        <f>IF(MONTH(DATE(AnoCalendario,11,1)-WEEKDAY(DATE(AnoCalendario,11,1),2)+33)=11,DATE(AnoCalendario,11,1)-WEEKDAY(DATE(AnoCalendario,11,1),2)+33,"")</f>
        <v>46353</v>
      </c>
      <c r="O40" s="6">
        <f>IF(MONTH(DATE(AnoCalendario,11,1)-WEEKDAY(DATE(AnoCalendario,11,1),2)+34)=11,DATE(AnoCalendario,11,1)-WEEKDAY(DATE(AnoCalendario,11,1),2)+34,"")</f>
        <v>46354</v>
      </c>
      <c r="P40" s="6">
        <f>IF(MONTH(DATE(AnoCalendario,11,1)-WEEKDAY(DATE(AnoCalendario,11,1),2)+35)=11,DATE(AnoCalendario,11,1)-WEEKDAY(DATE(AnoCalendario,11,1),2)+35,"")</f>
        <v>46355</v>
      </c>
      <c r="R40" s="6">
        <f>IF(MONTH(DATE(AnoCalendario,12,1)-WEEKDAY(DATE(AnoCalendario,12,1),2)+29)=12,DATE(AnoCalendario,12,1)-WEEKDAY(DATE(AnoCalendario,12,1),2)+29,"")</f>
        <v>46384</v>
      </c>
      <c r="S40" s="6">
        <f>IF(MONTH(DATE(AnoCalendario,12,1)-WEEKDAY(DATE(AnoCalendario,12,1),2)+30)=12,DATE(AnoCalendario,12,1)-WEEKDAY(DATE(AnoCalendario,12,1),2)+30,"")</f>
        <v>46385</v>
      </c>
      <c r="T40" s="6">
        <f>IF(MONTH(DATE(AnoCalendario,12,1)-WEEKDAY(DATE(AnoCalendario,12,1),2)+31)=12,DATE(AnoCalendario,12,1)-WEEKDAY(DATE(AnoCalendario,12,1),2)+31,"")</f>
        <v>46386</v>
      </c>
      <c r="U40" s="6">
        <f>IF(MONTH(DATE(AnoCalendario,12,1)-WEEKDAY(DATE(AnoCalendario,12,1),2)+32)=12,DATE(AnoCalendario,12,1)-WEEKDAY(DATE(AnoCalendario,12,1),2)+32,"")</f>
        <v>46387</v>
      </c>
      <c r="V40" s="6" t="str">
        <f>IF(MONTH(DATE(AnoCalendario,12,1)-WEEKDAY(DATE(AnoCalendario,12,1),2)+33)=12,DATE(AnoCalendario,12,1)-WEEKDAY(DATE(AnoCalendario,12,1),2)+33,"")</f>
        <v/>
      </c>
      <c r="W40" s="6" t="str">
        <f>IF(MONTH(DATE(AnoCalendario,12,1)-WEEKDAY(DATE(AnoCalendario,12,1),2)+34)=12,DATE(AnoCalendario,12,1)-WEEKDAY(DATE(AnoCalendario,12,1),2)+34,"")</f>
        <v/>
      </c>
      <c r="X40" s="6" t="str">
        <f>IF(MONTH(DATE(AnoCalendario,12,1)-WEEKDAY(DATE(AnoCalendario,12,1),2)+35)=12,DATE(AnoCalendario,12,1)-WEEKDAY(DATE(AnoCalendario,12,1),2)+35,"")</f>
        <v/>
      </c>
    </row>
    <row r="41" spans="2:24" ht="16.5" customHeight="1" x14ac:dyDescent="0.3">
      <c r="B41" s="6" t="str">
        <f>IF(MONTH(DATE(AnoCalendario,10,1)-WEEKDAY(DATE(AnoCalendario,10,1),2)+36)=10,DATE(AnoCalendario,10,1)-WEEKDAY(DATE(AnoCalendario,10,1),2)+36,"")</f>
        <v/>
      </c>
      <c r="C41" s="6" t="str">
        <f>IF(MONTH(DATE(AnoCalendario,10,1)-WEEKDAY(DATE(AnoCalendario,10,1),2)+37)=10,DATE(AnoCalendario,10,1)-WEEKDAY(DATE(AnoCalendario,10,1),2)+37,"")</f>
        <v/>
      </c>
      <c r="D41" s="6" t="str">
        <f>IF(MONTH(DATE(AnoCalendario,10,1)-WEEKDAY(DATE(AnoCalendario,10,1),2)+38)=10,DATE(AnoCalendario,10,1)-WEEKDAY(DATE(AnoCalendario,10,1),2)+38,"")</f>
        <v/>
      </c>
      <c r="E41" s="6" t="str">
        <f>IF(MONTH(DATE(AnoCalendario,10,1)-WEEKDAY(DATE(AnoCalendario,10,1),2)+39)=10,DATE(AnoCalendario,10,1)-WEEKDAY(DATE(AnoCalendario,10,1),2)+39,"")</f>
        <v/>
      </c>
      <c r="F41" s="6" t="str">
        <f>IF(MONTH(DATE(AnoCalendario,10,1)-WEEKDAY(DATE(AnoCalendario,10,1),2)+40)=10,DATE(AnoCalendario,10,1)-WEEKDAY(DATE(AnoCalendario,10,1),2)+40,"")</f>
        <v/>
      </c>
      <c r="G41" s="6" t="str">
        <f>IF(MONTH(DATE(AnoCalendario,10,1)-WEEKDAY(DATE(AnoCalendario,10,1),2)+41)=10,DATE(AnoCalendario,10,1)-WEEKDAY(DATE(AnoCalendario,10,1),2)+41,"")</f>
        <v/>
      </c>
      <c r="H41" s="6" t="str">
        <f>IF(MONTH(DATE(AnoCalendario,10,1)-WEEKDAY(DATE(AnoCalendario,10,1),2)+42)=10,DATE(AnoCalendario,10,1)-WEEKDAY(DATE(AnoCalendario,10,1),2)+42,"")</f>
        <v/>
      </c>
      <c r="J41" s="6">
        <f>IF(MONTH(DATE(AnoCalendario,11,1)-WEEKDAY(DATE(AnoCalendario,11,1),2)+36)=11,DATE(AnoCalendario,11,1)-WEEKDAY(DATE(AnoCalendario,11,1),2)+36,"")</f>
        <v>46356</v>
      </c>
      <c r="K41" s="6" t="str">
        <f>IF(MONTH(DATE(AnoCalendario,11,1)-WEEKDAY(DATE(AnoCalendario,11,1),2)+37)=11,DATE(AnoCalendario,11,1)-WEEKDAY(DATE(AnoCalendario,11,1),2)+37,"")</f>
        <v/>
      </c>
      <c r="L41" s="6" t="str">
        <f>IF(MONTH(DATE(AnoCalendario,11,1)-WEEKDAY(DATE(AnoCalendario,11,1),2)+38)=11,DATE(AnoCalendario,11,1)-WEEKDAY(DATE(AnoCalendario,11,1),2)+38,"")</f>
        <v/>
      </c>
      <c r="M41" s="6" t="str">
        <f>IF(MONTH(DATE(AnoCalendario,11,1)-WEEKDAY(DATE(AnoCalendario,11,1),2)+39)=11,DATE(AnoCalendario,11,1)-WEEKDAY(DATE(AnoCalendario,11,1),2)+39,"")</f>
        <v/>
      </c>
      <c r="N41" s="6" t="str">
        <f>IF(MONTH(DATE(AnoCalendario,11,1)-WEEKDAY(DATE(AnoCalendario,11,1),2)+40)=11,DATE(AnoCalendario,11,1)-WEEKDAY(DATE(AnoCalendario,11,1),2)+40,"")</f>
        <v/>
      </c>
      <c r="O41" s="6" t="str">
        <f>IF(MONTH(DATE(AnoCalendario,11,1)-WEEKDAY(DATE(AnoCalendario,11,1),2)+41)=11,DATE(AnoCalendario,11,1)-WEEKDAY(DATE(AnoCalendario,11,1),2)+41,"")</f>
        <v/>
      </c>
      <c r="P41" s="6" t="str">
        <f>IF(MONTH(DATE(AnoCalendario,11,1)-WEEKDAY(DATE(AnoCalendario,11,1),2)+42)=11,DATE(AnoCalendario,11,1)-WEEKDAY(DATE(AnoCalendario,11,1),2)+42,"")</f>
        <v/>
      </c>
      <c r="R41" s="6" t="str">
        <f>IF(MONTH(DATE(AnoCalendario,12,1)-WEEKDAY(DATE(AnoCalendario,12,1),2)+36)=12,DATE(AnoCalendario,12,1)-WEEKDAY(DATE(AnoCalendario,12,1),2)+36,"")</f>
        <v/>
      </c>
      <c r="S41" s="6" t="str">
        <f>IF(MONTH(DATE(AnoCalendario,12,1)-WEEKDAY(DATE(AnoCalendario,12,1),2)+37)=12,DATE(AnoCalendario,12,1)-WEEKDAY(DATE(AnoCalendario,12,1),2)+37,"")</f>
        <v/>
      </c>
      <c r="T41" s="6" t="str">
        <f>IF(MONTH(DATE(AnoCalendario,12,1)-WEEKDAY(DATE(AnoCalendario,12,1),2)+38)=12,DATE(AnoCalendario,12,1)-WEEKDAY(DATE(AnoCalendario,12,1),2)+38,"")</f>
        <v/>
      </c>
      <c r="U41" s="6" t="str">
        <f>IF(MONTH(DATE(AnoCalendario,12,1)-WEEKDAY(DATE(AnoCalendario,12,1),2)+39)=12,DATE(AnoCalendario,12,1)-WEEKDAY(DATE(AnoCalendario,12,1),2)+39,"")</f>
        <v/>
      </c>
      <c r="V41" s="6" t="str">
        <f>IF(MONTH(DATE(AnoCalendario,12,1)-WEEKDAY(DATE(AnoCalendario,12,1),2)+40)=12,DATE(AnoCalendario,12,1)-WEEKDAY(DATE(AnoCalendario,12,1),2)+40,"")</f>
        <v/>
      </c>
      <c r="W41" s="6" t="str">
        <f>IF(MONTH(DATE(AnoCalendario,12,1)-WEEKDAY(DATE(AnoCalendario,12,1),2)+41)=12,DATE(AnoCalendario,12,1)-WEEKDAY(DATE(AnoCalendario,12,1),2)+41,"")</f>
        <v/>
      </c>
      <c r="X41" s="6" t="str">
        <f>IF(MONTH(DATE(AnoCalendario,12,1)-WEEKDAY(DATE(AnoCalendario,12,1),2)+42)=12,DATE(AnoCalendario,12,1)-WEEKDAY(DATE(AnoCalendario,12,1),2)+42,"")</f>
        <v/>
      </c>
    </row>
    <row r="42" spans="2:24" ht="12.75" customHeight="1" x14ac:dyDescent="0.3">
      <c r="B42" s="36" t="str">
        <f>"Eventos: "&amp;COUNTIFS(Eventos!$A$2:$A$999,"&gt;="&amp;DATE(AnoCalendario,10,1),Eventos!$A$2:$A$999,"&lt;"&amp;DATE(AnoCalendario,11,1),Eventos!$H$2:$H$999,"&lt;&gt;Cancelado")</f>
        <v>Eventos: 0</v>
      </c>
      <c r="C42" s="36"/>
      <c r="D42" s="36"/>
      <c r="E42" s="36"/>
      <c r="F42" s="36"/>
      <c r="G42" s="36"/>
      <c r="H42" s="36"/>
      <c r="J42" s="36" t="str">
        <f>"Eventos: "&amp;COUNTIFS(Eventos!$A$2:$A$999,"&gt;="&amp;DATE(AnoCalendario,11,1),Eventos!$A$2:$A$999,"&lt;"&amp;DATE(AnoCalendario,12,1),Eventos!$H$2:$H$999,"&lt;&gt;Cancelado")</f>
        <v>Eventos: 0</v>
      </c>
      <c r="K42" s="36"/>
      <c r="L42" s="36"/>
      <c r="M42" s="36"/>
      <c r="N42" s="36"/>
      <c r="O42" s="36"/>
      <c r="P42" s="36"/>
      <c r="R42" s="36" t="str">
        <f>"Eventos: "&amp;COUNTIFS(Eventos!$A$2:$A$999,"&gt;="&amp;DATE(AnoCalendario,12,1),Eventos!$A$2:$A$999,"&lt;"&amp;DATE(AnoCalendario,13,1),Eventos!$H$2:$H$999,"&lt;&gt;Cancelado")</f>
        <v>Eventos: 0</v>
      </c>
      <c r="S42" s="36"/>
      <c r="T42" s="36"/>
      <c r="U42" s="36"/>
      <c r="V42" s="36"/>
      <c r="W42" s="36"/>
      <c r="X42" s="36"/>
    </row>
    <row r="43" spans="2:24" ht="7.5" customHeight="1" x14ac:dyDescent="0.3"/>
  </sheetData>
  <mergeCells count="30">
    <mergeCell ref="B1:X1"/>
    <mergeCell ref="U2:V2"/>
    <mergeCell ref="W2:X2"/>
    <mergeCell ref="B4:H4"/>
    <mergeCell ref="J4:P4"/>
    <mergeCell ref="R4:X4"/>
    <mergeCell ref="Z4:AC4"/>
    <mergeCell ref="B12:H12"/>
    <mergeCell ref="J12:P12"/>
    <mergeCell ref="R12:X12"/>
    <mergeCell ref="Z12:AC12"/>
    <mergeCell ref="Z13:AC13"/>
    <mergeCell ref="B14:H14"/>
    <mergeCell ref="J14:P14"/>
    <mergeCell ref="R14:X14"/>
    <mergeCell ref="B22:H22"/>
    <mergeCell ref="J22:P22"/>
    <mergeCell ref="R22:X22"/>
    <mergeCell ref="B24:H24"/>
    <mergeCell ref="J24:P24"/>
    <mergeCell ref="R24:X24"/>
    <mergeCell ref="B32:H32"/>
    <mergeCell ref="J32:P32"/>
    <mergeCell ref="R32:X32"/>
    <mergeCell ref="B34:H34"/>
    <mergeCell ref="J34:P34"/>
    <mergeCell ref="R34:X34"/>
    <mergeCell ref="B42:H42"/>
    <mergeCell ref="J42:P42"/>
    <mergeCell ref="R42:X42"/>
  </mergeCells>
  <conditionalFormatting sqref="B4:X43">
    <cfRule type="expression" dxfId="11" priority="10">
      <formula>AND(ISNUMBER(B4),B4=TODAY())</formula>
    </cfRule>
    <cfRule type="expression" dxfId="7" priority="14">
      <formula>AND(ISNUMBER(B4),WEEKDAY(B4,2)&gt;5)</formula>
    </cfRule>
  </conditionalFormatting>
  <conditionalFormatting sqref="AC8:AC11">
    <cfRule type="cellIs" dxfId="6" priority="7" operator="equal">
      <formula>"Confirmado"</formula>
    </cfRule>
    <cfRule type="cellIs" dxfId="5" priority="8" operator="equal">
      <formula>"Pendente"</formula>
    </cfRule>
    <cfRule type="cellIs" dxfId="4" priority="9" operator="equal">
      <formula>"Cancelado"</formula>
    </cfRule>
  </conditionalFormatting>
  <dataValidations count="2">
    <dataValidation type="whole" errorTitle="Ano inválido" error="Introduza um ano entre 2000 e 2100." sqref="W2" xr:uid="{00000000-0002-0000-0000-000000000000}">
      <formula1>2000</formula1>
      <formula2>2100</formula2>
    </dataValidation>
    <dataValidation type="date" allowBlank="1" errorTitle="Data inválida" error="Introduza uma data válida, por exemplo 15/09/2026." sqref="AA5" xr:uid="{00000000-0002-0000-0000-000001000000}">
      <formula1>36526</formula1>
      <formula2>73415</formula2>
    </dataValidation>
  </dataValidations>
  <printOptions horizontalCentered="1"/>
  <pageMargins left="0.4" right="0.4" top="0.5" bottom="0.5" header="0.511811023622047" footer="0.511811023622047"/>
  <pageSetup paperSize="9" scale="96" orientation="portrait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00000000-000E-0000-0000-000003000000}">
            <xm:f>AND(ISNUMBER(B4),COUNTIFS(Eventos!$A$2:$A$999,B4,Eventos!$H$2:$H$999,"Confirmado")&gt;0)</xm:f>
            <x14:dxf>
              <font>
                <b/>
              </font>
              <fill>
                <patternFill>
                  <bgColor rgb="FFC6EFCE"/>
                </patternFill>
              </fill>
            </x14:dxf>
          </x14:cfRule>
          <x14:cfRule type="expression" priority="12" id="{00000000-000E-0000-0000-000004000000}">
            <xm:f>AND(ISNUMBER(B4),COUNTIFS(Eventos!$A$2:$A$999,B4,Eventos!$H$2:$H$999,"Confirmado")=0,COUNTIFS(Eventos!$A$2:$A$999,B4,Eventos!$H$2:$H$999,"&lt;&gt;Cancelado")&gt;0)</xm:f>
            <x14:dxf>
              <font>
                <b/>
              </font>
              <fill>
                <patternFill>
                  <bgColor rgb="FFFFEB9C"/>
                </patternFill>
              </fill>
            </x14:dxf>
          </x14:cfRule>
          <x14:cfRule type="expression" priority="13" id="{00000000-000E-0000-0000-000005000000}">
            <xm:f>AND(ISNUMBER(B4),COUNTIF(Feriados!$A$2:$A$40,B4)&gt;0)</xm:f>
            <x14:dxf>
              <font>
                <b/>
                <color rgb="FFC00000"/>
              </font>
            </x14:dxf>
          </x14:cfRule>
          <xm:sqref>B4:X43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L29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9" sqref="H9"/>
    </sheetView>
  </sheetViews>
  <sheetFormatPr defaultColWidth="8.6640625" defaultRowHeight="14.4" x14ac:dyDescent="0.3"/>
  <cols>
    <col min="1" max="1" width="12" customWidth="1"/>
    <col min="2" max="2" width="11" customWidth="1"/>
    <col min="3" max="3" width="34" customWidth="1"/>
    <col min="4" max="4" width="26" customWidth="1"/>
    <col min="5" max="5" width="24" customWidth="1"/>
    <col min="6" max="6" width="11" customWidth="1"/>
    <col min="7" max="7" width="10" customWidth="1"/>
    <col min="8" max="8" width="13" customWidth="1"/>
    <col min="9" max="9" width="34" customWidth="1"/>
    <col min="10" max="10" width="11" customWidth="1"/>
    <col min="11" max="11" width="40" customWidth="1"/>
    <col min="12" max="12" width="15" customWidth="1"/>
  </cols>
  <sheetData>
    <row r="1" spans="1:12" ht="21.75" customHeight="1" x14ac:dyDescent="0.3">
      <c r="A1" s="12" t="s">
        <v>20</v>
      </c>
      <c r="B1" s="13" t="s">
        <v>21</v>
      </c>
      <c r="C1" s="12" t="s">
        <v>14</v>
      </c>
      <c r="D1" s="12" t="s">
        <v>15</v>
      </c>
      <c r="E1" s="12" t="s">
        <v>22</v>
      </c>
      <c r="F1" s="12" t="s">
        <v>23</v>
      </c>
      <c r="G1" s="12" t="s">
        <v>24</v>
      </c>
      <c r="H1" s="12" t="s">
        <v>17</v>
      </c>
      <c r="I1" s="12" t="s">
        <v>25</v>
      </c>
      <c r="J1" s="12" t="s">
        <v>26</v>
      </c>
      <c r="K1" s="12" t="s">
        <v>27</v>
      </c>
      <c r="L1" s="13" t="s">
        <v>28</v>
      </c>
    </row>
    <row r="2" spans="1:12" x14ac:dyDescent="0.3">
      <c r="A2" s="30">
        <v>46277</v>
      </c>
      <c r="B2" s="31" t="str">
        <f t="shared" ref="B2:B64" si="0">IFERROR(IF(A2="","",CHOOSE(WEEKDAY(A2,2),"Segunda","Terça","Quarta","Quinta","Sexta","Sábado","Domingo")),"")</f>
        <v>Sábado</v>
      </c>
      <c r="C2" s="32" t="s">
        <v>65</v>
      </c>
      <c r="D2" s="32"/>
      <c r="E2" s="32"/>
      <c r="F2" s="33"/>
      <c r="G2" s="33"/>
      <c r="H2" s="31" t="s">
        <v>2</v>
      </c>
      <c r="I2" s="32"/>
      <c r="J2" s="34"/>
      <c r="K2" s="32"/>
      <c r="L2" s="31" t="str">
        <f>IFERROR(IF(A2="","",INT(A2)&amp;"-"&amp;COUNTIF($A$2:A2,A2)),"")</f>
        <v>46277-1</v>
      </c>
    </row>
    <row r="3" spans="1:12" x14ac:dyDescent="0.3">
      <c r="A3" s="25">
        <v>46290</v>
      </c>
      <c r="B3" s="26" t="str">
        <f t="shared" si="0"/>
        <v>Sexta</v>
      </c>
      <c r="C3" s="27" t="s">
        <v>63</v>
      </c>
      <c r="D3" s="27" t="s">
        <v>64</v>
      </c>
      <c r="E3" s="27" t="s">
        <v>66</v>
      </c>
      <c r="F3" s="28">
        <v>0.5</v>
      </c>
      <c r="G3" s="28">
        <v>0</v>
      </c>
      <c r="H3" s="26" t="s">
        <v>1</v>
      </c>
      <c r="I3" s="27" t="s">
        <v>67</v>
      </c>
      <c r="J3" s="29">
        <v>150</v>
      </c>
      <c r="K3" s="27" t="s">
        <v>68</v>
      </c>
      <c r="L3" s="26" t="str">
        <f>IFERROR(IF(A3="","",INT(A3)&amp;"-"&amp;COUNTIF($A$2:A3,A3)),"")</f>
        <v>46290-1</v>
      </c>
    </row>
    <row r="4" spans="1:12" x14ac:dyDescent="0.3">
      <c r="A4" s="25"/>
      <c r="B4" s="26" t="str">
        <f t="shared" si="0"/>
        <v/>
      </c>
      <c r="C4" s="27"/>
      <c r="D4" s="27"/>
      <c r="E4" s="27"/>
      <c r="F4" s="28"/>
      <c r="G4" s="28"/>
      <c r="H4" s="26"/>
      <c r="I4" s="27"/>
      <c r="J4" s="29"/>
      <c r="K4" s="27"/>
      <c r="L4" s="26" t="str">
        <f>IFERROR(IF(A4="","",INT(A4)&amp;"-"&amp;COUNTIF($A$2:A4,A4)),"")</f>
        <v/>
      </c>
    </row>
    <row r="5" spans="1:12" x14ac:dyDescent="0.3">
      <c r="A5" s="25"/>
      <c r="B5" s="26" t="str">
        <f t="shared" si="0"/>
        <v/>
      </c>
      <c r="C5" s="27"/>
      <c r="D5" s="27"/>
      <c r="E5" s="27"/>
      <c r="F5" s="28"/>
      <c r="G5" s="28"/>
      <c r="H5" s="26"/>
      <c r="I5" s="27"/>
      <c r="J5" s="29"/>
      <c r="K5" s="27"/>
      <c r="L5" s="26" t="str">
        <f>IFERROR(IF(A5="","",INT(A5)&amp;"-"&amp;COUNTIF($A$2:A5,A5)),"")</f>
        <v/>
      </c>
    </row>
    <row r="6" spans="1:12" x14ac:dyDescent="0.3">
      <c r="A6" s="25"/>
      <c r="B6" s="26" t="str">
        <f t="shared" si="0"/>
        <v/>
      </c>
      <c r="C6" s="27"/>
      <c r="D6" s="27"/>
      <c r="E6" s="27"/>
      <c r="F6" s="28"/>
      <c r="G6" s="28"/>
      <c r="H6" s="26"/>
      <c r="I6" s="27"/>
      <c r="J6" s="29"/>
      <c r="K6" s="27"/>
      <c r="L6" s="26" t="str">
        <f>IFERROR(IF(A6="","",INT(A6)&amp;"-"&amp;COUNTIF($A$2:A6,A6)),"")</f>
        <v/>
      </c>
    </row>
    <row r="7" spans="1:12" x14ac:dyDescent="0.3">
      <c r="A7" s="25"/>
      <c r="B7" s="26" t="str">
        <f t="shared" si="0"/>
        <v/>
      </c>
      <c r="C7" s="27"/>
      <c r="D7" s="27"/>
      <c r="E7" s="27"/>
      <c r="F7" s="28"/>
      <c r="G7" s="28"/>
      <c r="H7" s="26"/>
      <c r="I7" s="27"/>
      <c r="J7" s="29"/>
      <c r="K7" s="27"/>
      <c r="L7" s="26" t="str">
        <f>IFERROR(IF(A7="","",INT(A7)&amp;"-"&amp;COUNTIF($A$2:A7,A7)),"")</f>
        <v/>
      </c>
    </row>
    <row r="8" spans="1:12" x14ac:dyDescent="0.3">
      <c r="A8" s="25"/>
      <c r="B8" s="26" t="str">
        <f t="shared" si="0"/>
        <v/>
      </c>
      <c r="C8" s="27"/>
      <c r="D8" s="27"/>
      <c r="E8" s="27"/>
      <c r="F8" s="28"/>
      <c r="G8" s="28"/>
      <c r="H8" s="26"/>
      <c r="I8" s="27"/>
      <c r="J8" s="29"/>
      <c r="K8" s="27"/>
      <c r="L8" s="26" t="str">
        <f>IFERROR(IF(A8="","",INT(A8)&amp;"-"&amp;COUNTIF($A$2:A8,A8)),"")</f>
        <v/>
      </c>
    </row>
    <row r="9" spans="1:12" x14ac:dyDescent="0.3">
      <c r="A9" s="25"/>
      <c r="B9" s="26" t="str">
        <f t="shared" si="0"/>
        <v/>
      </c>
      <c r="C9" s="27"/>
      <c r="D9" s="27"/>
      <c r="E9" s="27"/>
      <c r="F9" s="28"/>
      <c r="G9" s="28"/>
      <c r="H9" s="26"/>
      <c r="I9" s="27"/>
      <c r="J9" s="29"/>
      <c r="K9" s="27"/>
      <c r="L9" s="26" t="str">
        <f>IFERROR(IF(A9="","",INT(A9)&amp;"-"&amp;COUNTIF($A$2:A9,A9)),"")</f>
        <v/>
      </c>
    </row>
    <row r="10" spans="1:12" x14ac:dyDescent="0.3">
      <c r="A10" s="25"/>
      <c r="B10" s="26" t="str">
        <f t="shared" si="0"/>
        <v/>
      </c>
      <c r="C10" s="27"/>
      <c r="D10" s="27"/>
      <c r="E10" s="27"/>
      <c r="F10" s="28"/>
      <c r="G10" s="28"/>
      <c r="H10" s="26"/>
      <c r="I10" s="27"/>
      <c r="J10" s="29"/>
      <c r="K10" s="27"/>
      <c r="L10" s="26" t="str">
        <f>IFERROR(IF(A10="","",INT(A10)&amp;"-"&amp;COUNTIF($A$2:A10,A10)),"")</f>
        <v/>
      </c>
    </row>
    <row r="11" spans="1:12" x14ac:dyDescent="0.3">
      <c r="A11" s="25"/>
      <c r="B11" s="26" t="str">
        <f t="shared" si="0"/>
        <v/>
      </c>
      <c r="C11" s="27"/>
      <c r="D11" s="27"/>
      <c r="E11" s="27"/>
      <c r="F11" s="28"/>
      <c r="G11" s="28"/>
      <c r="H11" s="26"/>
      <c r="I11" s="27"/>
      <c r="J11" s="29"/>
      <c r="K11" s="27"/>
      <c r="L11" s="26" t="str">
        <f>IFERROR(IF(A11="","",INT(A11)&amp;"-"&amp;COUNTIF($A$2:A11,A11)),"")</f>
        <v/>
      </c>
    </row>
    <row r="12" spans="1:12" x14ac:dyDescent="0.3">
      <c r="A12" s="25"/>
      <c r="B12" s="26" t="str">
        <f t="shared" si="0"/>
        <v/>
      </c>
      <c r="C12" s="27"/>
      <c r="D12" s="27"/>
      <c r="E12" s="27"/>
      <c r="F12" s="28"/>
      <c r="G12" s="28"/>
      <c r="H12" s="26"/>
      <c r="I12" s="27"/>
      <c r="J12" s="29"/>
      <c r="K12" s="27"/>
      <c r="L12" s="26" t="str">
        <f>IFERROR(IF(A12="","",INT(A12)&amp;"-"&amp;COUNTIF($A$2:A12,A12)),"")</f>
        <v/>
      </c>
    </row>
    <row r="13" spans="1:12" x14ac:dyDescent="0.3">
      <c r="A13" s="25"/>
      <c r="B13" s="26" t="str">
        <f t="shared" si="0"/>
        <v/>
      </c>
      <c r="C13" s="27"/>
      <c r="D13" s="27"/>
      <c r="E13" s="27"/>
      <c r="F13" s="28"/>
      <c r="G13" s="28"/>
      <c r="H13" s="26"/>
      <c r="I13" s="27"/>
      <c r="J13" s="29"/>
      <c r="K13" s="27"/>
      <c r="L13" s="26" t="str">
        <f>IFERROR(IF(A13="","",INT(A13)&amp;"-"&amp;COUNTIF($A$2:A13,A13)),"")</f>
        <v/>
      </c>
    </row>
    <row r="14" spans="1:12" x14ac:dyDescent="0.3">
      <c r="A14" s="25"/>
      <c r="B14" s="26" t="str">
        <f t="shared" si="0"/>
        <v/>
      </c>
      <c r="C14" s="27"/>
      <c r="D14" s="27"/>
      <c r="E14" s="27"/>
      <c r="F14" s="28"/>
      <c r="G14" s="28"/>
      <c r="H14" s="26"/>
      <c r="I14" s="27"/>
      <c r="J14" s="29"/>
      <c r="K14" s="27"/>
      <c r="L14" s="26" t="str">
        <f>IFERROR(IF(A14="","",INT(A14)&amp;"-"&amp;COUNTIF($A$2:A14,A14)),"")</f>
        <v/>
      </c>
    </row>
    <row r="15" spans="1:12" x14ac:dyDescent="0.3">
      <c r="A15" s="25"/>
      <c r="B15" s="26" t="str">
        <f t="shared" si="0"/>
        <v/>
      </c>
      <c r="C15" s="27"/>
      <c r="D15" s="27"/>
      <c r="E15" s="27"/>
      <c r="F15" s="28"/>
      <c r="G15" s="28"/>
      <c r="H15" s="26"/>
      <c r="I15" s="27"/>
      <c r="J15" s="29"/>
      <c r="K15" s="27"/>
      <c r="L15" s="26" t="str">
        <f>IFERROR(IF(A15="","",INT(A15)&amp;"-"&amp;COUNTIF($A$2:A15,A15)),"")</f>
        <v/>
      </c>
    </row>
    <row r="16" spans="1:12" x14ac:dyDescent="0.3">
      <c r="A16" s="25"/>
      <c r="B16" s="26" t="str">
        <f t="shared" si="0"/>
        <v/>
      </c>
      <c r="C16" s="27"/>
      <c r="D16" s="27"/>
      <c r="E16" s="27"/>
      <c r="F16" s="28"/>
      <c r="G16" s="28"/>
      <c r="H16" s="26"/>
      <c r="I16" s="27"/>
      <c r="J16" s="29"/>
      <c r="K16" s="27"/>
      <c r="L16" s="26" t="str">
        <f>IFERROR(IF(A16="","",INT(A16)&amp;"-"&amp;COUNTIF($A$2:A16,A16)),"")</f>
        <v/>
      </c>
    </row>
    <row r="17" spans="1:12" x14ac:dyDescent="0.3">
      <c r="A17" s="25"/>
      <c r="B17" s="26" t="str">
        <f t="shared" si="0"/>
        <v/>
      </c>
      <c r="C17" s="27"/>
      <c r="D17" s="27"/>
      <c r="E17" s="27"/>
      <c r="F17" s="28"/>
      <c r="G17" s="28"/>
      <c r="H17" s="26"/>
      <c r="I17" s="27"/>
      <c r="J17" s="29"/>
      <c r="K17" s="27"/>
      <c r="L17" s="26" t="str">
        <f>IFERROR(IF(A17="","",INT(A17)&amp;"-"&amp;COUNTIF($A$2:A17,A17)),"")</f>
        <v/>
      </c>
    </row>
    <row r="18" spans="1:12" x14ac:dyDescent="0.3">
      <c r="A18" s="25"/>
      <c r="B18" s="26" t="str">
        <f t="shared" si="0"/>
        <v/>
      </c>
      <c r="C18" s="27"/>
      <c r="D18" s="27"/>
      <c r="E18" s="27"/>
      <c r="F18" s="28"/>
      <c r="G18" s="28"/>
      <c r="H18" s="26"/>
      <c r="I18" s="27"/>
      <c r="J18" s="29"/>
      <c r="K18" s="27"/>
      <c r="L18" s="26" t="str">
        <f>IFERROR(IF(A18="","",INT(A18)&amp;"-"&amp;COUNTIF($A$2:A18,A18)),"")</f>
        <v/>
      </c>
    </row>
    <row r="19" spans="1:12" x14ac:dyDescent="0.3">
      <c r="A19" s="25"/>
      <c r="B19" s="26" t="str">
        <f t="shared" si="0"/>
        <v/>
      </c>
      <c r="C19" s="27"/>
      <c r="D19" s="27"/>
      <c r="E19" s="27"/>
      <c r="F19" s="28"/>
      <c r="G19" s="28"/>
      <c r="H19" s="26"/>
      <c r="I19" s="27"/>
      <c r="J19" s="29"/>
      <c r="K19" s="27"/>
      <c r="L19" s="26" t="str">
        <f>IFERROR(IF(A19="","",INT(A19)&amp;"-"&amp;COUNTIF($A$2:A19,A19)),"")</f>
        <v/>
      </c>
    </row>
    <row r="20" spans="1:12" x14ac:dyDescent="0.3">
      <c r="A20" s="25"/>
      <c r="B20" s="26" t="str">
        <f t="shared" si="0"/>
        <v/>
      </c>
      <c r="C20" s="27"/>
      <c r="D20" s="27"/>
      <c r="E20" s="27"/>
      <c r="F20" s="28"/>
      <c r="G20" s="28"/>
      <c r="H20" s="26"/>
      <c r="I20" s="27"/>
      <c r="J20" s="29"/>
      <c r="K20" s="27"/>
      <c r="L20" s="26" t="str">
        <f>IFERROR(IF(A20="","",INT(A20)&amp;"-"&amp;COUNTIF($A$2:A20,A20)),"")</f>
        <v/>
      </c>
    </row>
    <row r="21" spans="1:12" x14ac:dyDescent="0.3">
      <c r="A21" s="25"/>
      <c r="B21" s="26" t="str">
        <f t="shared" si="0"/>
        <v/>
      </c>
      <c r="C21" s="27"/>
      <c r="D21" s="27"/>
      <c r="E21" s="27"/>
      <c r="F21" s="28"/>
      <c r="G21" s="28"/>
      <c r="H21" s="26"/>
      <c r="I21" s="27"/>
      <c r="J21" s="29"/>
      <c r="K21" s="27"/>
      <c r="L21" s="26" t="str">
        <f>IFERROR(IF(A21="","",INT(A21)&amp;"-"&amp;COUNTIF($A$2:A21,A21)),"")</f>
        <v/>
      </c>
    </row>
    <row r="22" spans="1:12" x14ac:dyDescent="0.3">
      <c r="A22" s="25"/>
      <c r="B22" s="26" t="str">
        <f t="shared" si="0"/>
        <v/>
      </c>
      <c r="C22" s="27"/>
      <c r="D22" s="27"/>
      <c r="E22" s="27"/>
      <c r="F22" s="28"/>
      <c r="G22" s="28"/>
      <c r="H22" s="26"/>
      <c r="I22" s="27"/>
      <c r="J22" s="29"/>
      <c r="K22" s="27"/>
      <c r="L22" s="26" t="str">
        <f>IFERROR(IF(A22="","",INT(A22)&amp;"-"&amp;COUNTIF($A$2:A22,A22)),"")</f>
        <v/>
      </c>
    </row>
    <row r="23" spans="1:12" x14ac:dyDescent="0.3">
      <c r="A23" s="25"/>
      <c r="B23" s="26" t="str">
        <f t="shared" si="0"/>
        <v/>
      </c>
      <c r="C23" s="27"/>
      <c r="D23" s="27"/>
      <c r="E23" s="27"/>
      <c r="F23" s="28"/>
      <c r="G23" s="28"/>
      <c r="H23" s="26"/>
      <c r="I23" s="27"/>
      <c r="J23" s="29"/>
      <c r="K23" s="27"/>
      <c r="L23" s="26" t="str">
        <f>IFERROR(IF(A23="","",INT(A23)&amp;"-"&amp;COUNTIF($A$2:A23,A23)),"")</f>
        <v/>
      </c>
    </row>
    <row r="24" spans="1:12" x14ac:dyDescent="0.3">
      <c r="A24" s="25"/>
      <c r="B24" s="26" t="str">
        <f t="shared" si="0"/>
        <v/>
      </c>
      <c r="C24" s="27"/>
      <c r="D24" s="27"/>
      <c r="E24" s="27"/>
      <c r="F24" s="28"/>
      <c r="G24" s="28"/>
      <c r="H24" s="26"/>
      <c r="I24" s="27"/>
      <c r="J24" s="29"/>
      <c r="K24" s="27"/>
      <c r="L24" s="26" t="str">
        <f>IFERROR(IF(A24="","",INT(A24)&amp;"-"&amp;COUNTIF($A$2:A24,A24)),"")</f>
        <v/>
      </c>
    </row>
    <row r="25" spans="1:12" x14ac:dyDescent="0.3">
      <c r="A25" s="25"/>
      <c r="B25" s="26" t="str">
        <f t="shared" si="0"/>
        <v/>
      </c>
      <c r="C25" s="27"/>
      <c r="D25" s="27"/>
      <c r="E25" s="27"/>
      <c r="F25" s="28"/>
      <c r="G25" s="28"/>
      <c r="H25" s="26"/>
      <c r="I25" s="27"/>
      <c r="J25" s="29"/>
      <c r="K25" s="27"/>
      <c r="L25" s="26" t="str">
        <f>IFERROR(IF(A25="","",INT(A25)&amp;"-"&amp;COUNTIF($A$2:A25,A25)),"")</f>
        <v/>
      </c>
    </row>
    <row r="26" spans="1:12" x14ac:dyDescent="0.3">
      <c r="A26" s="25"/>
      <c r="B26" s="26" t="str">
        <f t="shared" si="0"/>
        <v/>
      </c>
      <c r="C26" s="27"/>
      <c r="D26" s="27"/>
      <c r="E26" s="27"/>
      <c r="F26" s="28"/>
      <c r="G26" s="28"/>
      <c r="H26" s="26"/>
      <c r="I26" s="27"/>
      <c r="J26" s="29"/>
      <c r="K26" s="27"/>
      <c r="L26" s="26" t="str">
        <f>IFERROR(IF(A26="","",INT(A26)&amp;"-"&amp;COUNTIF($A$2:A26,A26)),"")</f>
        <v/>
      </c>
    </row>
    <row r="27" spans="1:12" x14ac:dyDescent="0.3">
      <c r="A27" s="25"/>
      <c r="B27" s="26" t="str">
        <f t="shared" si="0"/>
        <v/>
      </c>
      <c r="C27" s="27"/>
      <c r="D27" s="27"/>
      <c r="E27" s="27"/>
      <c r="F27" s="28"/>
      <c r="G27" s="28"/>
      <c r="H27" s="26"/>
      <c r="I27" s="27"/>
      <c r="J27" s="29"/>
      <c r="K27" s="27"/>
      <c r="L27" s="26" t="str">
        <f>IFERROR(IF(A27="","",INT(A27)&amp;"-"&amp;COUNTIF($A$2:A27,A27)),"")</f>
        <v/>
      </c>
    </row>
    <row r="28" spans="1:12" x14ac:dyDescent="0.3">
      <c r="A28" s="25"/>
      <c r="B28" s="26" t="str">
        <f t="shared" si="0"/>
        <v/>
      </c>
      <c r="C28" s="27"/>
      <c r="D28" s="27"/>
      <c r="E28" s="27"/>
      <c r="F28" s="28"/>
      <c r="G28" s="28"/>
      <c r="H28" s="26"/>
      <c r="I28" s="27"/>
      <c r="J28" s="29"/>
      <c r="K28" s="27"/>
      <c r="L28" s="26" t="str">
        <f>IFERROR(IF(A28="","",INT(A28)&amp;"-"&amp;COUNTIF($A$2:A28,A28)),"")</f>
        <v/>
      </c>
    </row>
    <row r="29" spans="1:12" x14ac:dyDescent="0.3">
      <c r="A29" s="25"/>
      <c r="B29" s="26" t="str">
        <f t="shared" si="0"/>
        <v/>
      </c>
      <c r="C29" s="27"/>
      <c r="D29" s="27"/>
      <c r="E29" s="27"/>
      <c r="F29" s="28"/>
      <c r="G29" s="28"/>
      <c r="H29" s="26"/>
      <c r="I29" s="27"/>
      <c r="J29" s="29"/>
      <c r="K29" s="27"/>
      <c r="L29" s="26" t="str">
        <f>IFERROR(IF(A29="","",INT(A29)&amp;"-"&amp;COUNTIF($A$2:A29,A29)),"")</f>
        <v/>
      </c>
    </row>
    <row r="30" spans="1:12" x14ac:dyDescent="0.3">
      <c r="A30" s="25"/>
      <c r="B30" s="26" t="str">
        <f t="shared" si="0"/>
        <v/>
      </c>
      <c r="C30" s="27"/>
      <c r="D30" s="27"/>
      <c r="E30" s="27"/>
      <c r="F30" s="28"/>
      <c r="G30" s="28"/>
      <c r="H30" s="26"/>
      <c r="I30" s="27"/>
      <c r="J30" s="29"/>
      <c r="K30" s="27"/>
      <c r="L30" s="26" t="str">
        <f>IFERROR(IF(A30="","",INT(A30)&amp;"-"&amp;COUNTIF($A$2:A30,A30)),"")</f>
        <v/>
      </c>
    </row>
    <row r="31" spans="1:12" x14ac:dyDescent="0.3">
      <c r="A31" s="25"/>
      <c r="B31" s="26" t="str">
        <f t="shared" si="0"/>
        <v/>
      </c>
      <c r="C31" s="27"/>
      <c r="D31" s="27"/>
      <c r="E31" s="27"/>
      <c r="F31" s="28"/>
      <c r="G31" s="28"/>
      <c r="H31" s="26"/>
      <c r="I31" s="27"/>
      <c r="J31" s="29"/>
      <c r="K31" s="27"/>
      <c r="L31" s="26" t="str">
        <f>IFERROR(IF(A31="","",INT(A31)&amp;"-"&amp;COUNTIF($A$2:A31,A31)),"")</f>
        <v/>
      </c>
    </row>
    <row r="32" spans="1:12" x14ac:dyDescent="0.3">
      <c r="A32" s="25"/>
      <c r="B32" s="26" t="str">
        <f t="shared" si="0"/>
        <v/>
      </c>
      <c r="C32" s="27"/>
      <c r="D32" s="27"/>
      <c r="E32" s="27"/>
      <c r="F32" s="28"/>
      <c r="G32" s="28"/>
      <c r="H32" s="26"/>
      <c r="I32" s="27"/>
      <c r="J32" s="29"/>
      <c r="K32" s="27"/>
      <c r="L32" s="26" t="str">
        <f>IFERROR(IF(A32="","",INT(A32)&amp;"-"&amp;COUNTIF($A$2:A32,A32)),"")</f>
        <v/>
      </c>
    </row>
    <row r="33" spans="1:12" x14ac:dyDescent="0.3">
      <c r="A33" s="25"/>
      <c r="B33" s="26" t="str">
        <f t="shared" si="0"/>
        <v/>
      </c>
      <c r="C33" s="27"/>
      <c r="D33" s="27"/>
      <c r="E33" s="27"/>
      <c r="F33" s="28"/>
      <c r="G33" s="28"/>
      <c r="H33" s="26"/>
      <c r="I33" s="27"/>
      <c r="J33" s="29"/>
      <c r="K33" s="27"/>
      <c r="L33" s="26" t="str">
        <f>IFERROR(IF(A33="","",INT(A33)&amp;"-"&amp;COUNTIF($A$2:A33,A33)),"")</f>
        <v/>
      </c>
    </row>
    <row r="34" spans="1:12" x14ac:dyDescent="0.3">
      <c r="A34" s="25"/>
      <c r="B34" s="26" t="str">
        <f t="shared" si="0"/>
        <v/>
      </c>
      <c r="C34" s="27"/>
      <c r="D34" s="27"/>
      <c r="E34" s="27"/>
      <c r="F34" s="28"/>
      <c r="G34" s="28"/>
      <c r="H34" s="26"/>
      <c r="I34" s="27"/>
      <c r="J34" s="29"/>
      <c r="K34" s="27"/>
      <c r="L34" s="26" t="str">
        <f>IFERROR(IF(A34="","",INT(A34)&amp;"-"&amp;COUNTIF($A$2:A34,A34)),"")</f>
        <v/>
      </c>
    </row>
    <row r="35" spans="1:12" x14ac:dyDescent="0.3">
      <c r="A35" s="25"/>
      <c r="B35" s="26" t="str">
        <f t="shared" si="0"/>
        <v/>
      </c>
      <c r="C35" s="27"/>
      <c r="D35" s="27"/>
      <c r="E35" s="27"/>
      <c r="F35" s="28"/>
      <c r="G35" s="28"/>
      <c r="H35" s="26"/>
      <c r="I35" s="27"/>
      <c r="J35" s="29"/>
      <c r="K35" s="27"/>
      <c r="L35" s="26" t="str">
        <f>IFERROR(IF(A35="","",INT(A35)&amp;"-"&amp;COUNTIF($A$2:A35,A35)),"")</f>
        <v/>
      </c>
    </row>
    <row r="36" spans="1:12" x14ac:dyDescent="0.3">
      <c r="A36" s="25"/>
      <c r="B36" s="26" t="str">
        <f t="shared" si="0"/>
        <v/>
      </c>
      <c r="C36" s="27"/>
      <c r="D36" s="27"/>
      <c r="E36" s="27"/>
      <c r="F36" s="28"/>
      <c r="G36" s="28"/>
      <c r="H36" s="26"/>
      <c r="I36" s="27"/>
      <c r="J36" s="29"/>
      <c r="K36" s="27"/>
      <c r="L36" s="26" t="str">
        <f>IFERROR(IF(A36="","",INT(A36)&amp;"-"&amp;COUNTIF($A$2:A36,A36)),"")</f>
        <v/>
      </c>
    </row>
    <row r="37" spans="1:12" x14ac:dyDescent="0.3">
      <c r="A37" s="25"/>
      <c r="B37" s="26" t="str">
        <f t="shared" si="0"/>
        <v/>
      </c>
      <c r="C37" s="27"/>
      <c r="D37" s="27"/>
      <c r="E37" s="27"/>
      <c r="F37" s="28"/>
      <c r="G37" s="28"/>
      <c r="H37" s="26"/>
      <c r="I37" s="27"/>
      <c r="J37" s="29"/>
      <c r="K37" s="27"/>
      <c r="L37" s="26" t="str">
        <f>IFERROR(IF(A37="","",INT(A37)&amp;"-"&amp;COUNTIF($A$2:A37,A37)),"")</f>
        <v/>
      </c>
    </row>
    <row r="38" spans="1:12" x14ac:dyDescent="0.3">
      <c r="A38" s="25"/>
      <c r="B38" s="26" t="str">
        <f t="shared" si="0"/>
        <v/>
      </c>
      <c r="C38" s="27"/>
      <c r="D38" s="27"/>
      <c r="E38" s="27"/>
      <c r="F38" s="28"/>
      <c r="G38" s="28"/>
      <c r="H38" s="26"/>
      <c r="I38" s="27"/>
      <c r="J38" s="29"/>
      <c r="K38" s="27"/>
      <c r="L38" s="26" t="str">
        <f>IFERROR(IF(A38="","",INT(A38)&amp;"-"&amp;COUNTIF($A$2:A38,A38)),"")</f>
        <v/>
      </c>
    </row>
    <row r="39" spans="1:12" x14ac:dyDescent="0.3">
      <c r="A39" s="25"/>
      <c r="B39" s="26" t="str">
        <f t="shared" si="0"/>
        <v/>
      </c>
      <c r="C39" s="27"/>
      <c r="D39" s="27"/>
      <c r="E39" s="27"/>
      <c r="F39" s="28"/>
      <c r="G39" s="28"/>
      <c r="H39" s="26"/>
      <c r="I39" s="27"/>
      <c r="J39" s="29"/>
      <c r="K39" s="27"/>
      <c r="L39" s="26" t="str">
        <f>IFERROR(IF(A39="","",INT(A39)&amp;"-"&amp;COUNTIF($A$2:A39,A39)),"")</f>
        <v/>
      </c>
    </row>
    <row r="40" spans="1:12" x14ac:dyDescent="0.3">
      <c r="A40" s="25"/>
      <c r="B40" s="26" t="str">
        <f t="shared" si="0"/>
        <v/>
      </c>
      <c r="C40" s="27"/>
      <c r="D40" s="27"/>
      <c r="E40" s="27"/>
      <c r="F40" s="28"/>
      <c r="G40" s="28"/>
      <c r="H40" s="26"/>
      <c r="I40" s="27"/>
      <c r="J40" s="29"/>
      <c r="K40" s="27"/>
      <c r="L40" s="26" t="str">
        <f>IFERROR(IF(A40="","",INT(A40)&amp;"-"&amp;COUNTIF($A$2:A40,A40)),"")</f>
        <v/>
      </c>
    </row>
    <row r="41" spans="1:12" x14ac:dyDescent="0.3">
      <c r="A41" s="25"/>
      <c r="B41" s="26" t="str">
        <f t="shared" si="0"/>
        <v/>
      </c>
      <c r="C41" s="27"/>
      <c r="D41" s="27"/>
      <c r="E41" s="27"/>
      <c r="F41" s="28"/>
      <c r="G41" s="28"/>
      <c r="H41" s="26"/>
      <c r="I41" s="27"/>
      <c r="J41" s="29"/>
      <c r="K41" s="27"/>
      <c r="L41" s="26" t="str">
        <f>IFERROR(IF(A41="","",INT(A41)&amp;"-"&amp;COUNTIF($A$2:A41,A41)),"")</f>
        <v/>
      </c>
    </row>
    <row r="42" spans="1:12" x14ac:dyDescent="0.3">
      <c r="A42" s="25"/>
      <c r="B42" s="26" t="str">
        <f t="shared" si="0"/>
        <v/>
      </c>
      <c r="C42" s="27"/>
      <c r="D42" s="27"/>
      <c r="E42" s="27"/>
      <c r="F42" s="28"/>
      <c r="G42" s="28"/>
      <c r="H42" s="26"/>
      <c r="I42" s="27"/>
      <c r="J42" s="29"/>
      <c r="K42" s="27"/>
      <c r="L42" s="26" t="str">
        <f>IFERROR(IF(A42="","",INT(A42)&amp;"-"&amp;COUNTIF($A$2:A42,A42)),"")</f>
        <v/>
      </c>
    </row>
    <row r="43" spans="1:12" x14ac:dyDescent="0.3">
      <c r="A43" s="25"/>
      <c r="B43" s="26" t="str">
        <f t="shared" si="0"/>
        <v/>
      </c>
      <c r="C43" s="27"/>
      <c r="D43" s="27"/>
      <c r="E43" s="27"/>
      <c r="F43" s="28"/>
      <c r="G43" s="28"/>
      <c r="H43" s="26"/>
      <c r="I43" s="27"/>
      <c r="J43" s="29"/>
      <c r="K43" s="27"/>
      <c r="L43" s="26" t="str">
        <f>IFERROR(IF(A43="","",INT(A43)&amp;"-"&amp;COUNTIF($A$2:A43,A43)),"")</f>
        <v/>
      </c>
    </row>
    <row r="44" spans="1:12" x14ac:dyDescent="0.3">
      <c r="A44" s="25"/>
      <c r="B44" s="26" t="str">
        <f t="shared" si="0"/>
        <v/>
      </c>
      <c r="C44" s="27"/>
      <c r="D44" s="27"/>
      <c r="E44" s="27"/>
      <c r="F44" s="28"/>
      <c r="G44" s="28"/>
      <c r="H44" s="26"/>
      <c r="I44" s="27"/>
      <c r="J44" s="29"/>
      <c r="K44" s="27"/>
      <c r="L44" s="26" t="str">
        <f>IFERROR(IF(A44="","",INT(A44)&amp;"-"&amp;COUNTIF($A$2:A44,A44)),"")</f>
        <v/>
      </c>
    </row>
    <row r="45" spans="1:12" x14ac:dyDescent="0.3">
      <c r="A45" s="25"/>
      <c r="B45" s="26" t="str">
        <f t="shared" si="0"/>
        <v/>
      </c>
      <c r="C45" s="27"/>
      <c r="D45" s="27"/>
      <c r="E45" s="27"/>
      <c r="F45" s="28"/>
      <c r="G45" s="28"/>
      <c r="H45" s="26"/>
      <c r="I45" s="27"/>
      <c r="J45" s="29"/>
      <c r="K45" s="27"/>
      <c r="L45" s="26" t="str">
        <f>IFERROR(IF(A45="","",INT(A45)&amp;"-"&amp;COUNTIF($A$2:A45,A45)),"")</f>
        <v/>
      </c>
    </row>
    <row r="46" spans="1:12" x14ac:dyDescent="0.3">
      <c r="A46" s="25"/>
      <c r="B46" s="26" t="str">
        <f t="shared" si="0"/>
        <v/>
      </c>
      <c r="C46" s="27"/>
      <c r="D46" s="27"/>
      <c r="E46" s="27"/>
      <c r="F46" s="28"/>
      <c r="G46" s="28"/>
      <c r="H46" s="26"/>
      <c r="I46" s="27"/>
      <c r="J46" s="29"/>
      <c r="K46" s="27"/>
      <c r="L46" s="26" t="str">
        <f>IFERROR(IF(A46="","",INT(A46)&amp;"-"&amp;COUNTIF($A$2:A46,A46)),"")</f>
        <v/>
      </c>
    </row>
    <row r="47" spans="1:12" x14ac:dyDescent="0.3">
      <c r="A47" s="25"/>
      <c r="B47" s="26" t="str">
        <f t="shared" si="0"/>
        <v/>
      </c>
      <c r="C47" s="27"/>
      <c r="D47" s="27"/>
      <c r="E47" s="27"/>
      <c r="F47" s="28"/>
      <c r="G47" s="28"/>
      <c r="H47" s="26"/>
      <c r="I47" s="27"/>
      <c r="J47" s="29"/>
      <c r="K47" s="27"/>
      <c r="L47" s="26" t="str">
        <f>IFERROR(IF(A47="","",INT(A47)&amp;"-"&amp;COUNTIF($A$2:A47,A47)),"")</f>
        <v/>
      </c>
    </row>
    <row r="48" spans="1:12" x14ac:dyDescent="0.3">
      <c r="A48" s="25"/>
      <c r="B48" s="26" t="str">
        <f t="shared" si="0"/>
        <v/>
      </c>
      <c r="C48" s="27"/>
      <c r="D48" s="27"/>
      <c r="E48" s="27"/>
      <c r="F48" s="28"/>
      <c r="G48" s="28"/>
      <c r="H48" s="26"/>
      <c r="I48" s="27"/>
      <c r="J48" s="29"/>
      <c r="K48" s="27"/>
      <c r="L48" s="26" t="str">
        <f>IFERROR(IF(A48="","",INT(A48)&amp;"-"&amp;COUNTIF($A$2:A48,A48)),"")</f>
        <v/>
      </c>
    </row>
    <row r="49" spans="1:12" x14ac:dyDescent="0.3">
      <c r="A49" s="25"/>
      <c r="B49" s="26" t="str">
        <f t="shared" si="0"/>
        <v/>
      </c>
      <c r="C49" s="27"/>
      <c r="D49" s="27"/>
      <c r="E49" s="27"/>
      <c r="F49" s="28"/>
      <c r="G49" s="28"/>
      <c r="H49" s="26"/>
      <c r="I49" s="27"/>
      <c r="J49" s="29"/>
      <c r="K49" s="27"/>
      <c r="L49" s="26" t="str">
        <f>IFERROR(IF(A49="","",INT(A49)&amp;"-"&amp;COUNTIF($A$2:A49,A49)),"")</f>
        <v/>
      </c>
    </row>
    <row r="50" spans="1:12" x14ac:dyDescent="0.3">
      <c r="A50" s="25"/>
      <c r="B50" s="26" t="str">
        <f t="shared" si="0"/>
        <v/>
      </c>
      <c r="C50" s="27"/>
      <c r="D50" s="27"/>
      <c r="E50" s="27"/>
      <c r="F50" s="28"/>
      <c r="G50" s="28"/>
      <c r="H50" s="26"/>
      <c r="I50" s="27"/>
      <c r="J50" s="29"/>
      <c r="K50" s="27"/>
      <c r="L50" s="26" t="str">
        <f>IFERROR(IF(A50="","",INT(A50)&amp;"-"&amp;COUNTIF($A$2:A50,A50)),"")</f>
        <v/>
      </c>
    </row>
    <row r="51" spans="1:12" x14ac:dyDescent="0.3">
      <c r="A51" s="25"/>
      <c r="B51" s="26" t="str">
        <f t="shared" si="0"/>
        <v/>
      </c>
      <c r="C51" s="27"/>
      <c r="D51" s="27"/>
      <c r="E51" s="27"/>
      <c r="F51" s="28"/>
      <c r="G51" s="28"/>
      <c r="H51" s="26"/>
      <c r="I51" s="27"/>
      <c r="J51" s="29"/>
      <c r="K51" s="27"/>
      <c r="L51" s="26" t="str">
        <f>IFERROR(IF(A51="","",INT(A51)&amp;"-"&amp;COUNTIF($A$2:A51,A51)),"")</f>
        <v/>
      </c>
    </row>
    <row r="52" spans="1:12" x14ac:dyDescent="0.3">
      <c r="A52" s="25"/>
      <c r="B52" s="26" t="str">
        <f t="shared" si="0"/>
        <v/>
      </c>
      <c r="C52" s="27"/>
      <c r="D52" s="27"/>
      <c r="E52" s="27"/>
      <c r="F52" s="28"/>
      <c r="G52" s="28"/>
      <c r="H52" s="26"/>
      <c r="I52" s="27"/>
      <c r="J52" s="29"/>
      <c r="K52" s="27"/>
      <c r="L52" s="26" t="str">
        <f>IFERROR(IF(A52="","",INT(A52)&amp;"-"&amp;COUNTIF($A$2:A52,A52)),"")</f>
        <v/>
      </c>
    </row>
    <row r="53" spans="1:12" x14ac:dyDescent="0.3">
      <c r="A53" s="25"/>
      <c r="B53" s="26" t="str">
        <f t="shared" si="0"/>
        <v/>
      </c>
      <c r="C53" s="27"/>
      <c r="D53" s="27"/>
      <c r="E53" s="27"/>
      <c r="F53" s="28"/>
      <c r="G53" s="28"/>
      <c r="H53" s="26"/>
      <c r="I53" s="27"/>
      <c r="J53" s="29"/>
      <c r="K53" s="27"/>
      <c r="L53" s="26" t="str">
        <f>IFERROR(IF(A53="","",INT(A53)&amp;"-"&amp;COUNTIF($A$2:A53,A53)),"")</f>
        <v/>
      </c>
    </row>
    <row r="54" spans="1:12" x14ac:dyDescent="0.3">
      <c r="A54" s="25"/>
      <c r="B54" s="26" t="str">
        <f t="shared" si="0"/>
        <v/>
      </c>
      <c r="C54" s="27"/>
      <c r="D54" s="27"/>
      <c r="E54" s="27"/>
      <c r="F54" s="28"/>
      <c r="G54" s="28"/>
      <c r="H54" s="26"/>
      <c r="I54" s="27"/>
      <c r="J54" s="29"/>
      <c r="K54" s="27"/>
      <c r="L54" s="26" t="str">
        <f>IFERROR(IF(A54="","",INT(A54)&amp;"-"&amp;COUNTIF($A$2:A54,A54)),"")</f>
        <v/>
      </c>
    </row>
    <row r="55" spans="1:12" x14ac:dyDescent="0.3">
      <c r="A55" s="25"/>
      <c r="B55" s="26" t="str">
        <f t="shared" si="0"/>
        <v/>
      </c>
      <c r="C55" s="27"/>
      <c r="D55" s="27"/>
      <c r="E55" s="27"/>
      <c r="F55" s="28"/>
      <c r="G55" s="28"/>
      <c r="H55" s="26"/>
      <c r="I55" s="27"/>
      <c r="J55" s="29"/>
      <c r="K55" s="27"/>
      <c r="L55" s="26" t="str">
        <f>IFERROR(IF(A55="","",INT(A55)&amp;"-"&amp;COUNTIF($A$2:A55,A55)),"")</f>
        <v/>
      </c>
    </row>
    <row r="56" spans="1:12" x14ac:dyDescent="0.3">
      <c r="A56" s="25"/>
      <c r="B56" s="26" t="str">
        <f t="shared" si="0"/>
        <v/>
      </c>
      <c r="C56" s="27"/>
      <c r="D56" s="27"/>
      <c r="E56" s="27"/>
      <c r="F56" s="28"/>
      <c r="G56" s="28"/>
      <c r="H56" s="26"/>
      <c r="I56" s="27"/>
      <c r="J56" s="29"/>
      <c r="K56" s="27"/>
      <c r="L56" s="26" t="str">
        <f>IFERROR(IF(A56="","",INT(A56)&amp;"-"&amp;COUNTIF($A$2:A56,A56)),"")</f>
        <v/>
      </c>
    </row>
    <row r="57" spans="1:12" x14ac:dyDescent="0.3">
      <c r="A57" s="25"/>
      <c r="B57" s="26" t="str">
        <f t="shared" si="0"/>
        <v/>
      </c>
      <c r="C57" s="27"/>
      <c r="D57" s="27"/>
      <c r="E57" s="27"/>
      <c r="F57" s="28"/>
      <c r="G57" s="28"/>
      <c r="H57" s="26"/>
      <c r="I57" s="27"/>
      <c r="J57" s="29"/>
      <c r="K57" s="27"/>
      <c r="L57" s="26" t="str">
        <f>IFERROR(IF(A57="","",INT(A57)&amp;"-"&amp;COUNTIF($A$2:A57,A57)),"")</f>
        <v/>
      </c>
    </row>
    <row r="58" spans="1:12" x14ac:dyDescent="0.3">
      <c r="A58" s="25"/>
      <c r="B58" s="26" t="str">
        <f t="shared" si="0"/>
        <v/>
      </c>
      <c r="C58" s="27"/>
      <c r="D58" s="27"/>
      <c r="E58" s="27"/>
      <c r="F58" s="28"/>
      <c r="G58" s="28"/>
      <c r="H58" s="26"/>
      <c r="I58" s="27"/>
      <c r="J58" s="29"/>
      <c r="K58" s="27"/>
      <c r="L58" s="26" t="str">
        <f>IFERROR(IF(A58="","",INT(A58)&amp;"-"&amp;COUNTIF($A$2:A58,A58)),"")</f>
        <v/>
      </c>
    </row>
    <row r="59" spans="1:12" x14ac:dyDescent="0.3">
      <c r="A59" s="25"/>
      <c r="B59" s="26" t="str">
        <f t="shared" si="0"/>
        <v/>
      </c>
      <c r="C59" s="27"/>
      <c r="D59" s="27"/>
      <c r="E59" s="27"/>
      <c r="F59" s="28"/>
      <c r="G59" s="28"/>
      <c r="H59" s="26"/>
      <c r="I59" s="27"/>
      <c r="J59" s="29"/>
      <c r="K59" s="27"/>
      <c r="L59" s="26" t="str">
        <f>IFERROR(IF(A59="","",INT(A59)&amp;"-"&amp;COUNTIF($A$2:A59,A59)),"")</f>
        <v/>
      </c>
    </row>
    <row r="60" spans="1:12" x14ac:dyDescent="0.3">
      <c r="A60" s="25"/>
      <c r="B60" s="26" t="str">
        <f t="shared" si="0"/>
        <v/>
      </c>
      <c r="C60" s="27"/>
      <c r="D60" s="27"/>
      <c r="E60" s="27"/>
      <c r="F60" s="28"/>
      <c r="G60" s="28"/>
      <c r="H60" s="26"/>
      <c r="I60" s="27"/>
      <c r="J60" s="29"/>
      <c r="K60" s="27"/>
      <c r="L60" s="26" t="str">
        <f>IFERROR(IF(A60="","",INT(A60)&amp;"-"&amp;COUNTIF($A$2:A60,A60)),"")</f>
        <v/>
      </c>
    </row>
    <row r="61" spans="1:12" x14ac:dyDescent="0.3">
      <c r="A61" s="25"/>
      <c r="B61" s="26" t="str">
        <f t="shared" si="0"/>
        <v/>
      </c>
      <c r="C61" s="27"/>
      <c r="D61" s="27"/>
      <c r="E61" s="27"/>
      <c r="F61" s="28"/>
      <c r="G61" s="28"/>
      <c r="H61" s="26"/>
      <c r="I61" s="27"/>
      <c r="J61" s="29"/>
      <c r="K61" s="27"/>
      <c r="L61" s="26" t="str">
        <f>IFERROR(IF(A61="","",INT(A61)&amp;"-"&amp;COUNTIF($A$2:A61,A61)),"")</f>
        <v/>
      </c>
    </row>
    <row r="62" spans="1:12" x14ac:dyDescent="0.3">
      <c r="A62" s="25"/>
      <c r="B62" s="26" t="str">
        <f t="shared" si="0"/>
        <v/>
      </c>
      <c r="C62" s="27"/>
      <c r="D62" s="27"/>
      <c r="E62" s="27"/>
      <c r="F62" s="28"/>
      <c r="G62" s="28"/>
      <c r="H62" s="26"/>
      <c r="I62" s="27"/>
      <c r="J62" s="29"/>
      <c r="K62" s="27"/>
      <c r="L62" s="26" t="str">
        <f>IFERROR(IF(A62="","",INT(A62)&amp;"-"&amp;COUNTIF($A$2:A62,A62)),"")</f>
        <v/>
      </c>
    </row>
    <row r="63" spans="1:12" x14ac:dyDescent="0.3">
      <c r="A63" s="25"/>
      <c r="B63" s="26" t="str">
        <f t="shared" si="0"/>
        <v/>
      </c>
      <c r="C63" s="27"/>
      <c r="D63" s="27"/>
      <c r="E63" s="27"/>
      <c r="F63" s="28"/>
      <c r="G63" s="28"/>
      <c r="H63" s="26"/>
      <c r="I63" s="27"/>
      <c r="J63" s="29"/>
      <c r="K63" s="27"/>
      <c r="L63" s="26" t="str">
        <f>IFERROR(IF(A63="","",INT(A63)&amp;"-"&amp;COUNTIF($A$2:A63,A63)),"")</f>
        <v/>
      </c>
    </row>
    <row r="64" spans="1:12" x14ac:dyDescent="0.3">
      <c r="A64" s="25"/>
      <c r="B64" s="26" t="str">
        <f t="shared" si="0"/>
        <v/>
      </c>
      <c r="C64" s="27"/>
      <c r="D64" s="27"/>
      <c r="E64" s="27"/>
      <c r="F64" s="28"/>
      <c r="G64" s="28"/>
      <c r="H64" s="26"/>
      <c r="I64" s="27"/>
      <c r="J64" s="29"/>
      <c r="K64" s="27"/>
      <c r="L64" s="26" t="str">
        <f>IFERROR(IF(A64="","",INT(A64)&amp;"-"&amp;COUNTIF($A$2:A64,A64)),"")</f>
        <v/>
      </c>
    </row>
    <row r="65" spans="1:12" x14ac:dyDescent="0.3">
      <c r="A65" s="25"/>
      <c r="B65" s="26" t="str">
        <f t="shared" ref="B65:B128" si="1">IFERROR(IF(A65="","",CHOOSE(WEEKDAY(A65,2),"Segunda","Terça","Quarta","Quinta","Sexta","Sábado","Domingo")),"")</f>
        <v/>
      </c>
      <c r="C65" s="27"/>
      <c r="D65" s="27"/>
      <c r="E65" s="27"/>
      <c r="F65" s="28"/>
      <c r="G65" s="28"/>
      <c r="H65" s="26"/>
      <c r="I65" s="27"/>
      <c r="J65" s="29"/>
      <c r="K65" s="27"/>
      <c r="L65" s="26" t="str">
        <f>IFERROR(IF(A65="","",INT(A65)&amp;"-"&amp;COUNTIF($A$2:A65,A65)),"")</f>
        <v/>
      </c>
    </row>
    <row r="66" spans="1:12" x14ac:dyDescent="0.3">
      <c r="A66" s="25"/>
      <c r="B66" s="26" t="str">
        <f t="shared" si="1"/>
        <v/>
      </c>
      <c r="C66" s="27"/>
      <c r="D66" s="27"/>
      <c r="E66" s="27"/>
      <c r="F66" s="28"/>
      <c r="G66" s="28"/>
      <c r="H66" s="26"/>
      <c r="I66" s="27"/>
      <c r="J66" s="29"/>
      <c r="K66" s="27"/>
      <c r="L66" s="26" t="str">
        <f>IFERROR(IF(A66="","",INT(A66)&amp;"-"&amp;COUNTIF($A$2:A66,A66)),"")</f>
        <v/>
      </c>
    </row>
    <row r="67" spans="1:12" x14ac:dyDescent="0.3">
      <c r="A67" s="25"/>
      <c r="B67" s="26" t="str">
        <f t="shared" si="1"/>
        <v/>
      </c>
      <c r="C67" s="27"/>
      <c r="D67" s="27"/>
      <c r="E67" s="27"/>
      <c r="F67" s="28"/>
      <c r="G67" s="28"/>
      <c r="H67" s="26"/>
      <c r="I67" s="27"/>
      <c r="J67" s="29"/>
      <c r="K67" s="27"/>
      <c r="L67" s="26" t="str">
        <f>IFERROR(IF(A67="","",INT(A67)&amp;"-"&amp;COUNTIF($A$2:A67,A67)),"")</f>
        <v/>
      </c>
    </row>
    <row r="68" spans="1:12" x14ac:dyDescent="0.3">
      <c r="A68" s="25"/>
      <c r="B68" s="26" t="str">
        <f t="shared" si="1"/>
        <v/>
      </c>
      <c r="C68" s="27"/>
      <c r="D68" s="27"/>
      <c r="E68" s="27"/>
      <c r="F68" s="28"/>
      <c r="G68" s="28"/>
      <c r="H68" s="26"/>
      <c r="I68" s="27"/>
      <c r="J68" s="29"/>
      <c r="K68" s="27"/>
      <c r="L68" s="26" t="str">
        <f>IFERROR(IF(A68="","",INT(A68)&amp;"-"&amp;COUNTIF($A$2:A68,A68)),"")</f>
        <v/>
      </c>
    </row>
    <row r="69" spans="1:12" x14ac:dyDescent="0.3">
      <c r="A69" s="25"/>
      <c r="B69" s="26" t="str">
        <f t="shared" si="1"/>
        <v/>
      </c>
      <c r="C69" s="27"/>
      <c r="D69" s="27"/>
      <c r="E69" s="27"/>
      <c r="F69" s="28"/>
      <c r="G69" s="28"/>
      <c r="H69" s="26"/>
      <c r="I69" s="27"/>
      <c r="J69" s="29"/>
      <c r="K69" s="27"/>
      <c r="L69" s="26" t="str">
        <f>IFERROR(IF(A69="","",INT(A69)&amp;"-"&amp;COUNTIF($A$2:A69,A69)),"")</f>
        <v/>
      </c>
    </row>
    <row r="70" spans="1:12" x14ac:dyDescent="0.3">
      <c r="A70" s="25"/>
      <c r="B70" s="26" t="str">
        <f t="shared" si="1"/>
        <v/>
      </c>
      <c r="C70" s="27"/>
      <c r="D70" s="27"/>
      <c r="E70" s="27"/>
      <c r="F70" s="28"/>
      <c r="G70" s="28"/>
      <c r="H70" s="26"/>
      <c r="I70" s="27"/>
      <c r="J70" s="29"/>
      <c r="K70" s="27"/>
      <c r="L70" s="26" t="str">
        <f>IFERROR(IF(A70="","",INT(A70)&amp;"-"&amp;COUNTIF($A$2:A70,A70)),"")</f>
        <v/>
      </c>
    </row>
    <row r="71" spans="1:12" x14ac:dyDescent="0.3">
      <c r="A71" s="25"/>
      <c r="B71" s="26" t="str">
        <f t="shared" si="1"/>
        <v/>
      </c>
      <c r="C71" s="27"/>
      <c r="D71" s="27"/>
      <c r="E71" s="27"/>
      <c r="F71" s="28"/>
      <c r="G71" s="28"/>
      <c r="H71" s="26"/>
      <c r="I71" s="27"/>
      <c r="J71" s="29"/>
      <c r="K71" s="27"/>
      <c r="L71" s="26" t="str">
        <f>IFERROR(IF(A71="","",INT(A71)&amp;"-"&amp;COUNTIF($A$2:A71,A71)),"")</f>
        <v/>
      </c>
    </row>
    <row r="72" spans="1:12" x14ac:dyDescent="0.3">
      <c r="A72" s="25"/>
      <c r="B72" s="26" t="str">
        <f t="shared" si="1"/>
        <v/>
      </c>
      <c r="C72" s="27"/>
      <c r="D72" s="27"/>
      <c r="E72" s="27"/>
      <c r="F72" s="28"/>
      <c r="G72" s="28"/>
      <c r="H72" s="26"/>
      <c r="I72" s="27"/>
      <c r="J72" s="29"/>
      <c r="K72" s="27"/>
      <c r="L72" s="26" t="str">
        <f>IFERROR(IF(A72="","",INT(A72)&amp;"-"&amp;COUNTIF($A$2:A72,A72)),"")</f>
        <v/>
      </c>
    </row>
    <row r="73" spans="1:12" x14ac:dyDescent="0.3">
      <c r="A73" s="25"/>
      <c r="B73" s="26" t="str">
        <f t="shared" si="1"/>
        <v/>
      </c>
      <c r="C73" s="27"/>
      <c r="D73" s="27"/>
      <c r="E73" s="27"/>
      <c r="F73" s="28"/>
      <c r="G73" s="28"/>
      <c r="H73" s="26"/>
      <c r="I73" s="27"/>
      <c r="J73" s="29"/>
      <c r="K73" s="27"/>
      <c r="L73" s="26" t="str">
        <f>IFERROR(IF(A73="","",INT(A73)&amp;"-"&amp;COUNTIF($A$2:A73,A73)),"")</f>
        <v/>
      </c>
    </row>
    <row r="74" spans="1:12" x14ac:dyDescent="0.3">
      <c r="A74" s="25"/>
      <c r="B74" s="26" t="str">
        <f t="shared" si="1"/>
        <v/>
      </c>
      <c r="C74" s="27"/>
      <c r="D74" s="27"/>
      <c r="E74" s="27"/>
      <c r="F74" s="28"/>
      <c r="G74" s="28"/>
      <c r="H74" s="26"/>
      <c r="I74" s="27"/>
      <c r="J74" s="29"/>
      <c r="K74" s="27"/>
      <c r="L74" s="26" t="str">
        <f>IFERROR(IF(A74="","",INT(A74)&amp;"-"&amp;COUNTIF($A$2:A74,A74)),"")</f>
        <v/>
      </c>
    </row>
    <row r="75" spans="1:12" x14ac:dyDescent="0.3">
      <c r="A75" s="25"/>
      <c r="B75" s="26" t="str">
        <f t="shared" si="1"/>
        <v/>
      </c>
      <c r="C75" s="27"/>
      <c r="D75" s="27"/>
      <c r="E75" s="27"/>
      <c r="F75" s="28"/>
      <c r="G75" s="28"/>
      <c r="H75" s="26"/>
      <c r="I75" s="27"/>
      <c r="J75" s="29"/>
      <c r="K75" s="27"/>
      <c r="L75" s="26" t="str">
        <f>IFERROR(IF(A75="","",INT(A75)&amp;"-"&amp;COUNTIF($A$2:A75,A75)),"")</f>
        <v/>
      </c>
    </row>
    <row r="76" spans="1:12" x14ac:dyDescent="0.3">
      <c r="A76" s="25"/>
      <c r="B76" s="26" t="str">
        <f t="shared" si="1"/>
        <v/>
      </c>
      <c r="C76" s="27"/>
      <c r="D76" s="27"/>
      <c r="E76" s="27"/>
      <c r="F76" s="28"/>
      <c r="G76" s="28"/>
      <c r="H76" s="26"/>
      <c r="I76" s="27"/>
      <c r="J76" s="29"/>
      <c r="K76" s="27"/>
      <c r="L76" s="26" t="str">
        <f>IFERROR(IF(A76="","",INT(A76)&amp;"-"&amp;COUNTIF($A$2:A76,A76)),"")</f>
        <v/>
      </c>
    </row>
    <row r="77" spans="1:12" x14ac:dyDescent="0.3">
      <c r="A77" s="25"/>
      <c r="B77" s="26" t="str">
        <f t="shared" si="1"/>
        <v/>
      </c>
      <c r="C77" s="27"/>
      <c r="D77" s="27"/>
      <c r="E77" s="27"/>
      <c r="F77" s="28"/>
      <c r="G77" s="28"/>
      <c r="H77" s="26"/>
      <c r="I77" s="27"/>
      <c r="J77" s="29"/>
      <c r="K77" s="27"/>
      <c r="L77" s="26" t="str">
        <f>IFERROR(IF(A77="","",INT(A77)&amp;"-"&amp;COUNTIF($A$2:A77,A77)),"")</f>
        <v/>
      </c>
    </row>
    <row r="78" spans="1:12" x14ac:dyDescent="0.3">
      <c r="A78" s="25"/>
      <c r="B78" s="26" t="str">
        <f t="shared" si="1"/>
        <v/>
      </c>
      <c r="C78" s="27"/>
      <c r="D78" s="27"/>
      <c r="E78" s="27"/>
      <c r="F78" s="28"/>
      <c r="G78" s="28"/>
      <c r="H78" s="26"/>
      <c r="I78" s="27"/>
      <c r="J78" s="29"/>
      <c r="K78" s="27"/>
      <c r="L78" s="26" t="str">
        <f>IFERROR(IF(A78="","",INT(A78)&amp;"-"&amp;COUNTIF($A$2:A78,A78)),"")</f>
        <v/>
      </c>
    </row>
    <row r="79" spans="1:12" x14ac:dyDescent="0.3">
      <c r="A79" s="25"/>
      <c r="B79" s="26" t="str">
        <f t="shared" si="1"/>
        <v/>
      </c>
      <c r="C79" s="27"/>
      <c r="D79" s="27"/>
      <c r="E79" s="27"/>
      <c r="F79" s="28"/>
      <c r="G79" s="28"/>
      <c r="H79" s="26"/>
      <c r="I79" s="27"/>
      <c r="J79" s="29"/>
      <c r="K79" s="27"/>
      <c r="L79" s="26" t="str">
        <f>IFERROR(IF(A79="","",INT(A79)&amp;"-"&amp;COUNTIF($A$2:A79,A79)),"")</f>
        <v/>
      </c>
    </row>
    <row r="80" spans="1:12" x14ac:dyDescent="0.3">
      <c r="A80" s="25"/>
      <c r="B80" s="26" t="str">
        <f t="shared" si="1"/>
        <v/>
      </c>
      <c r="C80" s="27"/>
      <c r="D80" s="27"/>
      <c r="E80" s="27"/>
      <c r="F80" s="28"/>
      <c r="G80" s="28"/>
      <c r="H80" s="26"/>
      <c r="I80" s="27"/>
      <c r="J80" s="29"/>
      <c r="K80" s="27"/>
      <c r="L80" s="26" t="str">
        <f>IFERROR(IF(A80="","",INT(A80)&amp;"-"&amp;COUNTIF($A$2:A80,A80)),"")</f>
        <v/>
      </c>
    </row>
    <row r="81" spans="1:12" x14ac:dyDescent="0.3">
      <c r="A81" s="25"/>
      <c r="B81" s="26" t="str">
        <f t="shared" si="1"/>
        <v/>
      </c>
      <c r="C81" s="27"/>
      <c r="D81" s="27"/>
      <c r="E81" s="27"/>
      <c r="F81" s="28"/>
      <c r="G81" s="28"/>
      <c r="H81" s="26"/>
      <c r="I81" s="27"/>
      <c r="J81" s="29"/>
      <c r="K81" s="27"/>
      <c r="L81" s="26" t="str">
        <f>IFERROR(IF(A81="","",INT(A81)&amp;"-"&amp;COUNTIF($A$2:A81,A81)),"")</f>
        <v/>
      </c>
    </row>
    <row r="82" spans="1:12" x14ac:dyDescent="0.3">
      <c r="A82" s="25"/>
      <c r="B82" s="26" t="str">
        <f t="shared" si="1"/>
        <v/>
      </c>
      <c r="C82" s="27"/>
      <c r="D82" s="27"/>
      <c r="E82" s="27"/>
      <c r="F82" s="28"/>
      <c r="G82" s="28"/>
      <c r="H82" s="26"/>
      <c r="I82" s="27"/>
      <c r="J82" s="29"/>
      <c r="K82" s="27"/>
      <c r="L82" s="26" t="str">
        <f>IFERROR(IF(A82="","",INT(A82)&amp;"-"&amp;COUNTIF($A$2:A82,A82)),"")</f>
        <v/>
      </c>
    </row>
    <row r="83" spans="1:12" x14ac:dyDescent="0.3">
      <c r="A83" s="25"/>
      <c r="B83" s="26" t="str">
        <f t="shared" si="1"/>
        <v/>
      </c>
      <c r="C83" s="27"/>
      <c r="D83" s="27"/>
      <c r="E83" s="27"/>
      <c r="F83" s="28"/>
      <c r="G83" s="28"/>
      <c r="H83" s="26"/>
      <c r="I83" s="27"/>
      <c r="J83" s="29"/>
      <c r="K83" s="27"/>
      <c r="L83" s="26" t="str">
        <f>IFERROR(IF(A83="","",INT(A83)&amp;"-"&amp;COUNTIF($A$2:A83,A83)),"")</f>
        <v/>
      </c>
    </row>
    <row r="84" spans="1:12" x14ac:dyDescent="0.3">
      <c r="A84" s="25"/>
      <c r="B84" s="26" t="str">
        <f t="shared" si="1"/>
        <v/>
      </c>
      <c r="C84" s="27"/>
      <c r="D84" s="27"/>
      <c r="E84" s="27"/>
      <c r="F84" s="28"/>
      <c r="G84" s="28"/>
      <c r="H84" s="26"/>
      <c r="I84" s="27"/>
      <c r="J84" s="29"/>
      <c r="K84" s="27"/>
      <c r="L84" s="26" t="str">
        <f>IFERROR(IF(A84="","",INT(A84)&amp;"-"&amp;COUNTIF($A$2:A84,A84)),"")</f>
        <v/>
      </c>
    </row>
    <row r="85" spans="1:12" x14ac:dyDescent="0.3">
      <c r="A85" s="25"/>
      <c r="B85" s="26" t="str">
        <f t="shared" si="1"/>
        <v/>
      </c>
      <c r="C85" s="27"/>
      <c r="D85" s="27"/>
      <c r="E85" s="27"/>
      <c r="F85" s="28"/>
      <c r="G85" s="28"/>
      <c r="H85" s="26"/>
      <c r="I85" s="27"/>
      <c r="J85" s="29"/>
      <c r="K85" s="27"/>
      <c r="L85" s="26" t="str">
        <f>IFERROR(IF(A85="","",INT(A85)&amp;"-"&amp;COUNTIF($A$2:A85,A85)),"")</f>
        <v/>
      </c>
    </row>
    <row r="86" spans="1:12" x14ac:dyDescent="0.3">
      <c r="A86" s="25"/>
      <c r="B86" s="26" t="str">
        <f t="shared" si="1"/>
        <v/>
      </c>
      <c r="C86" s="27"/>
      <c r="D86" s="27"/>
      <c r="E86" s="27"/>
      <c r="F86" s="28"/>
      <c r="G86" s="28"/>
      <c r="H86" s="26"/>
      <c r="I86" s="27"/>
      <c r="J86" s="29"/>
      <c r="K86" s="27"/>
      <c r="L86" s="26" t="str">
        <f>IFERROR(IF(A86="","",INT(A86)&amp;"-"&amp;COUNTIF($A$2:A86,A86)),"")</f>
        <v/>
      </c>
    </row>
    <row r="87" spans="1:12" x14ac:dyDescent="0.3">
      <c r="A87" s="25"/>
      <c r="B87" s="26" t="str">
        <f t="shared" si="1"/>
        <v/>
      </c>
      <c r="C87" s="27"/>
      <c r="D87" s="27"/>
      <c r="E87" s="27"/>
      <c r="F87" s="28"/>
      <c r="G87" s="28"/>
      <c r="H87" s="26"/>
      <c r="I87" s="27"/>
      <c r="J87" s="29"/>
      <c r="K87" s="27"/>
      <c r="L87" s="26" t="str">
        <f>IFERROR(IF(A87="","",INT(A87)&amp;"-"&amp;COUNTIF($A$2:A87,A87)),"")</f>
        <v/>
      </c>
    </row>
    <row r="88" spans="1:12" x14ac:dyDescent="0.3">
      <c r="A88" s="25"/>
      <c r="B88" s="26" t="str">
        <f t="shared" si="1"/>
        <v/>
      </c>
      <c r="C88" s="27"/>
      <c r="D88" s="27"/>
      <c r="E88" s="27"/>
      <c r="F88" s="28"/>
      <c r="G88" s="28"/>
      <c r="H88" s="26"/>
      <c r="I88" s="27"/>
      <c r="J88" s="29"/>
      <c r="K88" s="27"/>
      <c r="L88" s="26" t="str">
        <f>IFERROR(IF(A88="","",INT(A88)&amp;"-"&amp;COUNTIF($A$2:A88,A88)),"")</f>
        <v/>
      </c>
    </row>
    <row r="89" spans="1:12" x14ac:dyDescent="0.3">
      <c r="A89" s="25"/>
      <c r="B89" s="26" t="str">
        <f t="shared" si="1"/>
        <v/>
      </c>
      <c r="C89" s="27"/>
      <c r="D89" s="27"/>
      <c r="E89" s="27"/>
      <c r="F89" s="28"/>
      <c r="G89" s="28"/>
      <c r="H89" s="26"/>
      <c r="I89" s="27"/>
      <c r="J89" s="29"/>
      <c r="K89" s="27"/>
      <c r="L89" s="26" t="str">
        <f>IFERROR(IF(A89="","",INT(A89)&amp;"-"&amp;COUNTIF($A$2:A89,A89)),"")</f>
        <v/>
      </c>
    </row>
    <row r="90" spans="1:12" x14ac:dyDescent="0.3">
      <c r="A90" s="25"/>
      <c r="B90" s="26" t="str">
        <f t="shared" si="1"/>
        <v/>
      </c>
      <c r="C90" s="27"/>
      <c r="D90" s="27"/>
      <c r="E90" s="27"/>
      <c r="F90" s="28"/>
      <c r="G90" s="28"/>
      <c r="H90" s="26"/>
      <c r="I90" s="27"/>
      <c r="J90" s="29"/>
      <c r="K90" s="27"/>
      <c r="L90" s="26" t="str">
        <f>IFERROR(IF(A90="","",INT(A90)&amp;"-"&amp;COUNTIF($A$2:A90,A90)),"")</f>
        <v/>
      </c>
    </row>
    <row r="91" spans="1:12" x14ac:dyDescent="0.3">
      <c r="A91" s="25"/>
      <c r="B91" s="26" t="str">
        <f t="shared" si="1"/>
        <v/>
      </c>
      <c r="C91" s="27"/>
      <c r="D91" s="27"/>
      <c r="E91" s="27"/>
      <c r="F91" s="28"/>
      <c r="G91" s="28"/>
      <c r="H91" s="26"/>
      <c r="I91" s="27"/>
      <c r="J91" s="29"/>
      <c r="K91" s="27"/>
      <c r="L91" s="26" t="str">
        <f>IFERROR(IF(A91="","",INT(A91)&amp;"-"&amp;COUNTIF($A$2:A91,A91)),"")</f>
        <v/>
      </c>
    </row>
    <row r="92" spans="1:12" x14ac:dyDescent="0.3">
      <c r="A92" s="25"/>
      <c r="B92" s="26" t="str">
        <f t="shared" si="1"/>
        <v/>
      </c>
      <c r="C92" s="27"/>
      <c r="D92" s="27"/>
      <c r="E92" s="27"/>
      <c r="F92" s="28"/>
      <c r="G92" s="28"/>
      <c r="H92" s="26"/>
      <c r="I92" s="27"/>
      <c r="J92" s="29"/>
      <c r="K92" s="27"/>
      <c r="L92" s="26" t="str">
        <f>IFERROR(IF(A92="","",INT(A92)&amp;"-"&amp;COUNTIF($A$2:A92,A92)),"")</f>
        <v/>
      </c>
    </row>
    <row r="93" spans="1:12" x14ac:dyDescent="0.3">
      <c r="A93" s="25"/>
      <c r="B93" s="26" t="str">
        <f t="shared" si="1"/>
        <v/>
      </c>
      <c r="C93" s="27"/>
      <c r="D93" s="27"/>
      <c r="E93" s="27"/>
      <c r="F93" s="28"/>
      <c r="G93" s="28"/>
      <c r="H93" s="26"/>
      <c r="I93" s="27"/>
      <c r="J93" s="29"/>
      <c r="K93" s="27"/>
      <c r="L93" s="26" t="str">
        <f>IFERROR(IF(A93="","",INT(A93)&amp;"-"&amp;COUNTIF($A$2:A93,A93)),"")</f>
        <v/>
      </c>
    </row>
    <row r="94" spans="1:12" x14ac:dyDescent="0.3">
      <c r="A94" s="25"/>
      <c r="B94" s="26" t="str">
        <f t="shared" si="1"/>
        <v/>
      </c>
      <c r="C94" s="27"/>
      <c r="D94" s="27"/>
      <c r="E94" s="27"/>
      <c r="F94" s="28"/>
      <c r="G94" s="28"/>
      <c r="H94" s="26"/>
      <c r="I94" s="27"/>
      <c r="J94" s="29"/>
      <c r="K94" s="27"/>
      <c r="L94" s="26" t="str">
        <f>IFERROR(IF(A94="","",INT(A94)&amp;"-"&amp;COUNTIF($A$2:A94,A94)),"")</f>
        <v/>
      </c>
    </row>
    <row r="95" spans="1:12" x14ac:dyDescent="0.3">
      <c r="A95" s="25"/>
      <c r="B95" s="26" t="str">
        <f t="shared" si="1"/>
        <v/>
      </c>
      <c r="C95" s="27"/>
      <c r="D95" s="27"/>
      <c r="E95" s="27"/>
      <c r="F95" s="28"/>
      <c r="G95" s="28"/>
      <c r="H95" s="26"/>
      <c r="I95" s="27"/>
      <c r="J95" s="29"/>
      <c r="K95" s="27"/>
      <c r="L95" s="26" t="str">
        <f>IFERROR(IF(A95="","",INT(A95)&amp;"-"&amp;COUNTIF($A$2:A95,A95)),"")</f>
        <v/>
      </c>
    </row>
    <row r="96" spans="1:12" x14ac:dyDescent="0.3">
      <c r="A96" s="25"/>
      <c r="B96" s="26" t="str">
        <f t="shared" si="1"/>
        <v/>
      </c>
      <c r="C96" s="27"/>
      <c r="D96" s="27"/>
      <c r="E96" s="27"/>
      <c r="F96" s="28"/>
      <c r="G96" s="28"/>
      <c r="H96" s="26"/>
      <c r="I96" s="27"/>
      <c r="J96" s="29"/>
      <c r="K96" s="27"/>
      <c r="L96" s="26" t="str">
        <f>IFERROR(IF(A96="","",INT(A96)&amp;"-"&amp;COUNTIF($A$2:A96,A96)),"")</f>
        <v/>
      </c>
    </row>
    <row r="97" spans="1:12" x14ac:dyDescent="0.3">
      <c r="A97" s="25"/>
      <c r="B97" s="26" t="str">
        <f t="shared" si="1"/>
        <v/>
      </c>
      <c r="C97" s="27"/>
      <c r="D97" s="27"/>
      <c r="E97" s="27"/>
      <c r="F97" s="28"/>
      <c r="G97" s="28"/>
      <c r="H97" s="26"/>
      <c r="I97" s="27"/>
      <c r="J97" s="29"/>
      <c r="K97" s="27"/>
      <c r="L97" s="26" t="str">
        <f>IFERROR(IF(A97="","",INT(A97)&amp;"-"&amp;COUNTIF($A$2:A97,A97)),"")</f>
        <v/>
      </c>
    </row>
    <row r="98" spans="1:12" x14ac:dyDescent="0.3">
      <c r="A98" s="25"/>
      <c r="B98" s="26" t="str">
        <f t="shared" si="1"/>
        <v/>
      </c>
      <c r="C98" s="27"/>
      <c r="D98" s="27"/>
      <c r="E98" s="27"/>
      <c r="F98" s="28"/>
      <c r="G98" s="28"/>
      <c r="H98" s="26"/>
      <c r="I98" s="27"/>
      <c r="J98" s="29"/>
      <c r="K98" s="27"/>
      <c r="L98" s="26" t="str">
        <f>IFERROR(IF(A98="","",INT(A98)&amp;"-"&amp;COUNTIF($A$2:A98,A98)),"")</f>
        <v/>
      </c>
    </row>
    <row r="99" spans="1:12" x14ac:dyDescent="0.3">
      <c r="A99" s="25"/>
      <c r="B99" s="26" t="str">
        <f t="shared" si="1"/>
        <v/>
      </c>
      <c r="C99" s="27"/>
      <c r="D99" s="27"/>
      <c r="E99" s="27"/>
      <c r="F99" s="28"/>
      <c r="G99" s="28"/>
      <c r="H99" s="26"/>
      <c r="I99" s="27"/>
      <c r="J99" s="29"/>
      <c r="K99" s="27"/>
      <c r="L99" s="26" t="str">
        <f>IFERROR(IF(A99="","",INT(A99)&amp;"-"&amp;COUNTIF($A$2:A99,A99)),"")</f>
        <v/>
      </c>
    </row>
    <row r="100" spans="1:12" x14ac:dyDescent="0.3">
      <c r="A100" s="25"/>
      <c r="B100" s="26" t="str">
        <f t="shared" si="1"/>
        <v/>
      </c>
      <c r="C100" s="27"/>
      <c r="D100" s="27"/>
      <c r="E100" s="27"/>
      <c r="F100" s="28"/>
      <c r="G100" s="28"/>
      <c r="H100" s="26"/>
      <c r="I100" s="27"/>
      <c r="J100" s="29"/>
      <c r="K100" s="27"/>
      <c r="L100" s="26" t="str">
        <f>IFERROR(IF(A100="","",INT(A100)&amp;"-"&amp;COUNTIF($A$2:A100,A100)),"")</f>
        <v/>
      </c>
    </row>
    <row r="101" spans="1:12" x14ac:dyDescent="0.3">
      <c r="A101" s="25"/>
      <c r="B101" s="26" t="str">
        <f t="shared" si="1"/>
        <v/>
      </c>
      <c r="C101" s="27"/>
      <c r="D101" s="27"/>
      <c r="E101" s="27"/>
      <c r="F101" s="28"/>
      <c r="G101" s="28"/>
      <c r="H101" s="26"/>
      <c r="I101" s="27"/>
      <c r="J101" s="29"/>
      <c r="K101" s="27"/>
      <c r="L101" s="26" t="str">
        <f>IFERROR(IF(A101="","",INT(A101)&amp;"-"&amp;COUNTIF($A$2:A101,A101)),"")</f>
        <v/>
      </c>
    </row>
    <row r="102" spans="1:12" x14ac:dyDescent="0.3">
      <c r="A102" s="25"/>
      <c r="B102" s="26" t="str">
        <f t="shared" si="1"/>
        <v/>
      </c>
      <c r="C102" s="27"/>
      <c r="D102" s="27"/>
      <c r="E102" s="27"/>
      <c r="F102" s="28"/>
      <c r="G102" s="28"/>
      <c r="H102" s="26"/>
      <c r="I102" s="27"/>
      <c r="J102" s="29"/>
      <c r="K102" s="27"/>
      <c r="L102" s="26" t="str">
        <f>IFERROR(IF(A102="","",INT(A102)&amp;"-"&amp;COUNTIF($A$2:A102,A102)),"")</f>
        <v/>
      </c>
    </row>
    <row r="103" spans="1:12" x14ac:dyDescent="0.3">
      <c r="A103" s="25"/>
      <c r="B103" s="26" t="str">
        <f t="shared" si="1"/>
        <v/>
      </c>
      <c r="C103" s="27"/>
      <c r="D103" s="27"/>
      <c r="E103" s="27"/>
      <c r="F103" s="28"/>
      <c r="G103" s="28"/>
      <c r="H103" s="26"/>
      <c r="I103" s="27"/>
      <c r="J103" s="29"/>
      <c r="K103" s="27"/>
      <c r="L103" s="26" t="str">
        <f>IFERROR(IF(A103="","",INT(A103)&amp;"-"&amp;COUNTIF($A$2:A103,A103)),"")</f>
        <v/>
      </c>
    </row>
    <row r="104" spans="1:12" x14ac:dyDescent="0.3">
      <c r="A104" s="25"/>
      <c r="B104" s="26" t="str">
        <f t="shared" si="1"/>
        <v/>
      </c>
      <c r="C104" s="27"/>
      <c r="D104" s="27"/>
      <c r="E104" s="27"/>
      <c r="F104" s="28"/>
      <c r="G104" s="28"/>
      <c r="H104" s="26"/>
      <c r="I104" s="27"/>
      <c r="J104" s="29"/>
      <c r="K104" s="27"/>
      <c r="L104" s="26" t="str">
        <f>IFERROR(IF(A104="","",INT(A104)&amp;"-"&amp;COUNTIF($A$2:A104,A104)),"")</f>
        <v/>
      </c>
    </row>
    <row r="105" spans="1:12" x14ac:dyDescent="0.3">
      <c r="A105" s="25"/>
      <c r="B105" s="26" t="str">
        <f t="shared" si="1"/>
        <v/>
      </c>
      <c r="C105" s="27"/>
      <c r="D105" s="27"/>
      <c r="E105" s="27"/>
      <c r="F105" s="28"/>
      <c r="G105" s="28"/>
      <c r="H105" s="26"/>
      <c r="I105" s="27"/>
      <c r="J105" s="29"/>
      <c r="K105" s="27"/>
      <c r="L105" s="26" t="str">
        <f>IFERROR(IF(A105="","",INT(A105)&amp;"-"&amp;COUNTIF($A$2:A105,A105)),"")</f>
        <v/>
      </c>
    </row>
    <row r="106" spans="1:12" x14ac:dyDescent="0.3">
      <c r="A106" s="25"/>
      <c r="B106" s="26" t="str">
        <f t="shared" si="1"/>
        <v/>
      </c>
      <c r="C106" s="27"/>
      <c r="D106" s="27"/>
      <c r="E106" s="27"/>
      <c r="F106" s="28"/>
      <c r="G106" s="28"/>
      <c r="H106" s="26"/>
      <c r="I106" s="27"/>
      <c r="J106" s="29"/>
      <c r="K106" s="27"/>
      <c r="L106" s="26" t="str">
        <f>IFERROR(IF(A106="","",INT(A106)&amp;"-"&amp;COUNTIF($A$2:A106,A106)),"")</f>
        <v/>
      </c>
    </row>
    <row r="107" spans="1:12" x14ac:dyDescent="0.3">
      <c r="A107" s="25"/>
      <c r="B107" s="26" t="str">
        <f t="shared" si="1"/>
        <v/>
      </c>
      <c r="C107" s="27"/>
      <c r="D107" s="27"/>
      <c r="E107" s="27"/>
      <c r="F107" s="28"/>
      <c r="G107" s="28"/>
      <c r="H107" s="26"/>
      <c r="I107" s="27"/>
      <c r="J107" s="29"/>
      <c r="K107" s="27"/>
      <c r="L107" s="26" t="str">
        <f>IFERROR(IF(A107="","",INT(A107)&amp;"-"&amp;COUNTIF($A$2:A107,A107)),"")</f>
        <v/>
      </c>
    </row>
    <row r="108" spans="1:12" x14ac:dyDescent="0.3">
      <c r="A108" s="25"/>
      <c r="B108" s="26" t="str">
        <f t="shared" si="1"/>
        <v/>
      </c>
      <c r="C108" s="27"/>
      <c r="D108" s="27"/>
      <c r="E108" s="27"/>
      <c r="F108" s="28"/>
      <c r="G108" s="28"/>
      <c r="H108" s="26"/>
      <c r="I108" s="27"/>
      <c r="J108" s="29"/>
      <c r="K108" s="27"/>
      <c r="L108" s="26" t="str">
        <f>IFERROR(IF(A108="","",INT(A108)&amp;"-"&amp;COUNTIF($A$2:A108,A108)),"")</f>
        <v/>
      </c>
    </row>
    <row r="109" spans="1:12" x14ac:dyDescent="0.3">
      <c r="A109" s="25"/>
      <c r="B109" s="26" t="str">
        <f t="shared" si="1"/>
        <v/>
      </c>
      <c r="C109" s="27"/>
      <c r="D109" s="27"/>
      <c r="E109" s="27"/>
      <c r="F109" s="28"/>
      <c r="G109" s="28"/>
      <c r="H109" s="26"/>
      <c r="I109" s="27"/>
      <c r="J109" s="29"/>
      <c r="K109" s="27"/>
      <c r="L109" s="26" t="str">
        <f>IFERROR(IF(A109="","",INT(A109)&amp;"-"&amp;COUNTIF($A$2:A109,A109)),"")</f>
        <v/>
      </c>
    </row>
    <row r="110" spans="1:12" x14ac:dyDescent="0.3">
      <c r="A110" s="25"/>
      <c r="B110" s="26" t="str">
        <f t="shared" si="1"/>
        <v/>
      </c>
      <c r="C110" s="27"/>
      <c r="D110" s="27"/>
      <c r="E110" s="27"/>
      <c r="F110" s="28"/>
      <c r="G110" s="28"/>
      <c r="H110" s="26"/>
      <c r="I110" s="27"/>
      <c r="J110" s="29"/>
      <c r="K110" s="27"/>
      <c r="L110" s="26" t="str">
        <f>IFERROR(IF(A110="","",INT(A110)&amp;"-"&amp;COUNTIF($A$2:A110,A110)),"")</f>
        <v/>
      </c>
    </row>
    <row r="111" spans="1:12" x14ac:dyDescent="0.3">
      <c r="A111" s="25"/>
      <c r="B111" s="26" t="str">
        <f t="shared" si="1"/>
        <v/>
      </c>
      <c r="C111" s="27"/>
      <c r="D111" s="27"/>
      <c r="E111" s="27"/>
      <c r="F111" s="28"/>
      <c r="G111" s="28"/>
      <c r="H111" s="26"/>
      <c r="I111" s="27"/>
      <c r="J111" s="29"/>
      <c r="K111" s="27"/>
      <c r="L111" s="26" t="str">
        <f>IFERROR(IF(A111="","",INT(A111)&amp;"-"&amp;COUNTIF($A$2:A111,A111)),"")</f>
        <v/>
      </c>
    </row>
    <row r="112" spans="1:12" x14ac:dyDescent="0.3">
      <c r="A112" s="25"/>
      <c r="B112" s="26" t="str">
        <f t="shared" si="1"/>
        <v/>
      </c>
      <c r="C112" s="27"/>
      <c r="D112" s="27"/>
      <c r="E112" s="27"/>
      <c r="F112" s="28"/>
      <c r="G112" s="28"/>
      <c r="H112" s="26"/>
      <c r="I112" s="27"/>
      <c r="J112" s="29"/>
      <c r="K112" s="27"/>
      <c r="L112" s="26" t="str">
        <f>IFERROR(IF(A112="","",INT(A112)&amp;"-"&amp;COUNTIF($A$2:A112,A112)),"")</f>
        <v/>
      </c>
    </row>
    <row r="113" spans="1:12" x14ac:dyDescent="0.3">
      <c r="A113" s="25"/>
      <c r="B113" s="26" t="str">
        <f t="shared" si="1"/>
        <v/>
      </c>
      <c r="C113" s="27"/>
      <c r="D113" s="27"/>
      <c r="E113" s="27"/>
      <c r="F113" s="28"/>
      <c r="G113" s="28"/>
      <c r="H113" s="26"/>
      <c r="I113" s="27"/>
      <c r="J113" s="29"/>
      <c r="K113" s="27"/>
      <c r="L113" s="26" t="str">
        <f>IFERROR(IF(A113="","",INT(A113)&amp;"-"&amp;COUNTIF($A$2:A113,A113)),"")</f>
        <v/>
      </c>
    </row>
    <row r="114" spans="1:12" x14ac:dyDescent="0.3">
      <c r="A114" s="25"/>
      <c r="B114" s="26" t="str">
        <f t="shared" si="1"/>
        <v/>
      </c>
      <c r="C114" s="27"/>
      <c r="D114" s="27"/>
      <c r="E114" s="27"/>
      <c r="F114" s="28"/>
      <c r="G114" s="28"/>
      <c r="H114" s="26"/>
      <c r="I114" s="27"/>
      <c r="J114" s="29"/>
      <c r="K114" s="27"/>
      <c r="L114" s="26" t="str">
        <f>IFERROR(IF(A114="","",INT(A114)&amp;"-"&amp;COUNTIF($A$2:A114,A114)),"")</f>
        <v/>
      </c>
    </row>
    <row r="115" spans="1:12" x14ac:dyDescent="0.3">
      <c r="A115" s="25"/>
      <c r="B115" s="26" t="str">
        <f t="shared" si="1"/>
        <v/>
      </c>
      <c r="C115" s="27"/>
      <c r="D115" s="27"/>
      <c r="E115" s="27"/>
      <c r="F115" s="28"/>
      <c r="G115" s="28"/>
      <c r="H115" s="26"/>
      <c r="I115" s="27"/>
      <c r="J115" s="29"/>
      <c r="K115" s="27"/>
      <c r="L115" s="26" t="str">
        <f>IFERROR(IF(A115="","",INT(A115)&amp;"-"&amp;COUNTIF($A$2:A115,A115)),"")</f>
        <v/>
      </c>
    </row>
    <row r="116" spans="1:12" x14ac:dyDescent="0.3">
      <c r="A116" s="25"/>
      <c r="B116" s="26" t="str">
        <f t="shared" si="1"/>
        <v/>
      </c>
      <c r="C116" s="27"/>
      <c r="D116" s="27"/>
      <c r="E116" s="27"/>
      <c r="F116" s="28"/>
      <c r="G116" s="28"/>
      <c r="H116" s="26"/>
      <c r="I116" s="27"/>
      <c r="J116" s="29"/>
      <c r="K116" s="27"/>
      <c r="L116" s="26" t="str">
        <f>IFERROR(IF(A116="","",INT(A116)&amp;"-"&amp;COUNTIF($A$2:A116,A116)),"")</f>
        <v/>
      </c>
    </row>
    <row r="117" spans="1:12" x14ac:dyDescent="0.3">
      <c r="A117" s="25"/>
      <c r="B117" s="26" t="str">
        <f t="shared" si="1"/>
        <v/>
      </c>
      <c r="C117" s="27"/>
      <c r="D117" s="27"/>
      <c r="E117" s="27"/>
      <c r="F117" s="28"/>
      <c r="G117" s="28"/>
      <c r="H117" s="26"/>
      <c r="I117" s="27"/>
      <c r="J117" s="29"/>
      <c r="K117" s="27"/>
      <c r="L117" s="26" t="str">
        <f>IFERROR(IF(A117="","",INT(A117)&amp;"-"&amp;COUNTIF($A$2:A117,A117)),"")</f>
        <v/>
      </c>
    </row>
    <row r="118" spans="1:12" x14ac:dyDescent="0.3">
      <c r="A118" s="25"/>
      <c r="B118" s="26" t="str">
        <f t="shared" si="1"/>
        <v/>
      </c>
      <c r="C118" s="27"/>
      <c r="D118" s="27"/>
      <c r="E118" s="27"/>
      <c r="F118" s="28"/>
      <c r="G118" s="28"/>
      <c r="H118" s="26"/>
      <c r="I118" s="27"/>
      <c r="J118" s="29"/>
      <c r="K118" s="27"/>
      <c r="L118" s="26" t="str">
        <f>IFERROR(IF(A118="","",INT(A118)&amp;"-"&amp;COUNTIF($A$2:A118,A118)),"")</f>
        <v/>
      </c>
    </row>
    <row r="119" spans="1:12" x14ac:dyDescent="0.3">
      <c r="A119" s="25"/>
      <c r="B119" s="26" t="str">
        <f t="shared" si="1"/>
        <v/>
      </c>
      <c r="C119" s="27"/>
      <c r="D119" s="27"/>
      <c r="E119" s="27"/>
      <c r="F119" s="28"/>
      <c r="G119" s="28"/>
      <c r="H119" s="26"/>
      <c r="I119" s="27"/>
      <c r="J119" s="29"/>
      <c r="K119" s="27"/>
      <c r="L119" s="26" t="str">
        <f>IFERROR(IF(A119="","",INT(A119)&amp;"-"&amp;COUNTIF($A$2:A119,A119)),"")</f>
        <v/>
      </c>
    </row>
    <row r="120" spans="1:12" x14ac:dyDescent="0.3">
      <c r="A120" s="25"/>
      <c r="B120" s="26" t="str">
        <f t="shared" si="1"/>
        <v/>
      </c>
      <c r="C120" s="27"/>
      <c r="D120" s="27"/>
      <c r="E120" s="27"/>
      <c r="F120" s="28"/>
      <c r="G120" s="28"/>
      <c r="H120" s="26"/>
      <c r="I120" s="27"/>
      <c r="J120" s="29"/>
      <c r="K120" s="27"/>
      <c r="L120" s="26" t="str">
        <f>IFERROR(IF(A120="","",INT(A120)&amp;"-"&amp;COUNTIF($A$2:A120,A120)),"")</f>
        <v/>
      </c>
    </row>
    <row r="121" spans="1:12" x14ac:dyDescent="0.3">
      <c r="A121" s="14"/>
      <c r="B121" s="15" t="str">
        <f t="shared" si="1"/>
        <v/>
      </c>
      <c r="C121" s="16"/>
      <c r="D121" s="16"/>
      <c r="E121" s="16"/>
      <c r="F121" s="17"/>
      <c r="G121" s="17"/>
      <c r="H121" s="18"/>
      <c r="I121" s="16"/>
      <c r="J121" s="19"/>
      <c r="K121" s="16"/>
      <c r="L121" s="15" t="str">
        <f>IFERROR(IF(A121="","",INT(A121)&amp;"-"&amp;COUNTIF($A$2:A121,A121)),"")</f>
        <v/>
      </c>
    </row>
    <row r="122" spans="1:12" x14ac:dyDescent="0.3">
      <c r="A122" s="14"/>
      <c r="B122" s="15" t="str">
        <f t="shared" si="1"/>
        <v/>
      </c>
      <c r="C122" s="16"/>
      <c r="D122" s="16"/>
      <c r="E122" s="16"/>
      <c r="F122" s="17"/>
      <c r="G122" s="17"/>
      <c r="H122" s="18"/>
      <c r="I122" s="16"/>
      <c r="J122" s="19"/>
      <c r="K122" s="16"/>
      <c r="L122" s="15" t="str">
        <f>IFERROR(IF(A122="","",INT(A122)&amp;"-"&amp;COUNTIF($A$2:A122,A122)),"")</f>
        <v/>
      </c>
    </row>
    <row r="123" spans="1:12" x14ac:dyDescent="0.3">
      <c r="A123" s="14"/>
      <c r="B123" s="15" t="str">
        <f t="shared" si="1"/>
        <v/>
      </c>
      <c r="C123" s="16"/>
      <c r="D123" s="16"/>
      <c r="E123" s="16"/>
      <c r="F123" s="17"/>
      <c r="G123" s="17"/>
      <c r="H123" s="18"/>
      <c r="I123" s="16"/>
      <c r="J123" s="19"/>
      <c r="K123" s="16"/>
      <c r="L123" s="15" t="str">
        <f>IFERROR(IF(A123="","",INT(A123)&amp;"-"&amp;COUNTIF($A$2:A123,A123)),"")</f>
        <v/>
      </c>
    </row>
    <row r="124" spans="1:12" x14ac:dyDescent="0.3">
      <c r="A124" s="14"/>
      <c r="B124" s="15" t="str">
        <f t="shared" si="1"/>
        <v/>
      </c>
      <c r="C124" s="16"/>
      <c r="D124" s="16"/>
      <c r="E124" s="16"/>
      <c r="F124" s="17"/>
      <c r="G124" s="17"/>
      <c r="H124" s="18"/>
      <c r="I124" s="16"/>
      <c r="J124" s="19"/>
      <c r="K124" s="16"/>
      <c r="L124" s="15" t="str">
        <f>IFERROR(IF(A124="","",INT(A124)&amp;"-"&amp;COUNTIF($A$2:A124,A124)),"")</f>
        <v/>
      </c>
    </row>
    <row r="125" spans="1:12" x14ac:dyDescent="0.3">
      <c r="A125" s="14"/>
      <c r="B125" s="15" t="str">
        <f t="shared" si="1"/>
        <v/>
      </c>
      <c r="C125" s="16"/>
      <c r="D125" s="16"/>
      <c r="E125" s="16"/>
      <c r="F125" s="17"/>
      <c r="G125" s="17"/>
      <c r="H125" s="18"/>
      <c r="I125" s="16"/>
      <c r="J125" s="19"/>
      <c r="K125" s="16"/>
      <c r="L125" s="15" t="str">
        <f>IFERROR(IF(A125="","",INT(A125)&amp;"-"&amp;COUNTIF($A$2:A125,A125)),"")</f>
        <v/>
      </c>
    </row>
    <row r="126" spans="1:12" x14ac:dyDescent="0.3">
      <c r="A126" s="14"/>
      <c r="B126" s="15" t="str">
        <f t="shared" si="1"/>
        <v/>
      </c>
      <c r="C126" s="16"/>
      <c r="D126" s="16"/>
      <c r="E126" s="16"/>
      <c r="F126" s="17"/>
      <c r="G126" s="17"/>
      <c r="H126" s="18"/>
      <c r="I126" s="16"/>
      <c r="J126" s="19"/>
      <c r="K126" s="16"/>
      <c r="L126" s="15" t="str">
        <f>IFERROR(IF(A126="","",INT(A126)&amp;"-"&amp;COUNTIF($A$2:A126,A126)),"")</f>
        <v/>
      </c>
    </row>
    <row r="127" spans="1:12" x14ac:dyDescent="0.3">
      <c r="A127" s="14"/>
      <c r="B127" s="15" t="str">
        <f t="shared" si="1"/>
        <v/>
      </c>
      <c r="C127" s="16"/>
      <c r="D127" s="16"/>
      <c r="E127" s="16"/>
      <c r="F127" s="17"/>
      <c r="G127" s="17"/>
      <c r="H127" s="18"/>
      <c r="I127" s="16"/>
      <c r="J127" s="19"/>
      <c r="K127" s="16"/>
      <c r="L127" s="15" t="str">
        <f>IFERROR(IF(A127="","",INT(A127)&amp;"-"&amp;COUNTIF($A$2:A127,A127)),"")</f>
        <v/>
      </c>
    </row>
    <row r="128" spans="1:12" x14ac:dyDescent="0.3">
      <c r="A128" s="14"/>
      <c r="B128" s="15" t="str">
        <f t="shared" si="1"/>
        <v/>
      </c>
      <c r="C128" s="16"/>
      <c r="D128" s="16"/>
      <c r="E128" s="16"/>
      <c r="F128" s="17"/>
      <c r="G128" s="17"/>
      <c r="H128" s="18"/>
      <c r="I128" s="16"/>
      <c r="J128" s="19"/>
      <c r="K128" s="16"/>
      <c r="L128" s="15" t="str">
        <f>IFERROR(IF(A128="","",INT(A128)&amp;"-"&amp;COUNTIF($A$2:A128,A128)),"")</f>
        <v/>
      </c>
    </row>
    <row r="129" spans="1:12" x14ac:dyDescent="0.3">
      <c r="A129" s="14"/>
      <c r="B129" s="15" t="str">
        <f t="shared" ref="B129:B192" si="2">IFERROR(IF(A129="","",CHOOSE(WEEKDAY(A129,2),"Segunda","Terça","Quarta","Quinta","Sexta","Sábado","Domingo")),"")</f>
        <v/>
      </c>
      <c r="C129" s="16"/>
      <c r="D129" s="16"/>
      <c r="E129" s="16"/>
      <c r="F129" s="17"/>
      <c r="G129" s="17"/>
      <c r="H129" s="18"/>
      <c r="I129" s="16"/>
      <c r="J129" s="19"/>
      <c r="K129" s="16"/>
      <c r="L129" s="15" t="str">
        <f>IFERROR(IF(A129="","",INT(A129)&amp;"-"&amp;COUNTIF($A$2:A129,A129)),"")</f>
        <v/>
      </c>
    </row>
    <row r="130" spans="1:12" x14ac:dyDescent="0.3">
      <c r="A130" s="14"/>
      <c r="B130" s="15" t="str">
        <f t="shared" si="2"/>
        <v/>
      </c>
      <c r="C130" s="16"/>
      <c r="D130" s="16"/>
      <c r="E130" s="16"/>
      <c r="F130" s="17"/>
      <c r="G130" s="17"/>
      <c r="H130" s="18"/>
      <c r="I130" s="16"/>
      <c r="J130" s="19"/>
      <c r="K130" s="16"/>
      <c r="L130" s="15" t="str">
        <f>IFERROR(IF(A130="","",INT(A130)&amp;"-"&amp;COUNTIF($A$2:A130,A130)),"")</f>
        <v/>
      </c>
    </row>
    <row r="131" spans="1:12" x14ac:dyDescent="0.3">
      <c r="A131" s="14"/>
      <c r="B131" s="15" t="str">
        <f t="shared" si="2"/>
        <v/>
      </c>
      <c r="C131" s="16"/>
      <c r="D131" s="16"/>
      <c r="E131" s="16"/>
      <c r="F131" s="17"/>
      <c r="G131" s="17"/>
      <c r="H131" s="18"/>
      <c r="I131" s="16"/>
      <c r="J131" s="19"/>
      <c r="K131" s="16"/>
      <c r="L131" s="15" t="str">
        <f>IFERROR(IF(A131="","",INT(A131)&amp;"-"&amp;COUNTIF($A$2:A131,A131)),"")</f>
        <v/>
      </c>
    </row>
    <row r="132" spans="1:12" x14ac:dyDescent="0.3">
      <c r="A132" s="14"/>
      <c r="B132" s="15" t="str">
        <f t="shared" si="2"/>
        <v/>
      </c>
      <c r="C132" s="16"/>
      <c r="D132" s="16"/>
      <c r="E132" s="16"/>
      <c r="F132" s="17"/>
      <c r="G132" s="17"/>
      <c r="H132" s="18"/>
      <c r="I132" s="16"/>
      <c r="J132" s="19"/>
      <c r="K132" s="16"/>
      <c r="L132" s="15" t="str">
        <f>IFERROR(IF(A132="","",INT(A132)&amp;"-"&amp;COUNTIF($A$2:A132,A132)),"")</f>
        <v/>
      </c>
    </row>
    <row r="133" spans="1:12" x14ac:dyDescent="0.3">
      <c r="A133" s="14"/>
      <c r="B133" s="15" t="str">
        <f t="shared" si="2"/>
        <v/>
      </c>
      <c r="C133" s="16"/>
      <c r="D133" s="16"/>
      <c r="E133" s="16"/>
      <c r="F133" s="17"/>
      <c r="G133" s="17"/>
      <c r="H133" s="18"/>
      <c r="I133" s="16"/>
      <c r="J133" s="19"/>
      <c r="K133" s="16"/>
      <c r="L133" s="15" t="str">
        <f>IFERROR(IF(A133="","",INT(A133)&amp;"-"&amp;COUNTIF($A$2:A133,A133)),"")</f>
        <v/>
      </c>
    </row>
    <row r="134" spans="1:12" x14ac:dyDescent="0.3">
      <c r="A134" s="14"/>
      <c r="B134" s="15" t="str">
        <f t="shared" si="2"/>
        <v/>
      </c>
      <c r="C134" s="16"/>
      <c r="D134" s="16"/>
      <c r="E134" s="16"/>
      <c r="F134" s="17"/>
      <c r="G134" s="17"/>
      <c r="H134" s="18"/>
      <c r="I134" s="16"/>
      <c r="J134" s="19"/>
      <c r="K134" s="16"/>
      <c r="L134" s="15" t="str">
        <f>IFERROR(IF(A134="","",INT(A134)&amp;"-"&amp;COUNTIF($A$2:A134,A134)),"")</f>
        <v/>
      </c>
    </row>
    <row r="135" spans="1:12" x14ac:dyDescent="0.3">
      <c r="A135" s="14"/>
      <c r="B135" s="15" t="str">
        <f t="shared" si="2"/>
        <v/>
      </c>
      <c r="C135" s="16"/>
      <c r="D135" s="16"/>
      <c r="E135" s="16"/>
      <c r="F135" s="17"/>
      <c r="G135" s="17"/>
      <c r="H135" s="18"/>
      <c r="I135" s="16"/>
      <c r="J135" s="19"/>
      <c r="K135" s="16"/>
      <c r="L135" s="15" t="str">
        <f>IFERROR(IF(A135="","",INT(A135)&amp;"-"&amp;COUNTIF($A$2:A135,A135)),"")</f>
        <v/>
      </c>
    </row>
    <row r="136" spans="1:12" x14ac:dyDescent="0.3">
      <c r="A136" s="14"/>
      <c r="B136" s="15" t="str">
        <f t="shared" si="2"/>
        <v/>
      </c>
      <c r="C136" s="16"/>
      <c r="D136" s="16"/>
      <c r="E136" s="16"/>
      <c r="F136" s="17"/>
      <c r="G136" s="17"/>
      <c r="H136" s="18"/>
      <c r="I136" s="16"/>
      <c r="J136" s="19"/>
      <c r="K136" s="16"/>
      <c r="L136" s="15" t="str">
        <f>IFERROR(IF(A136="","",INT(A136)&amp;"-"&amp;COUNTIF($A$2:A136,A136)),"")</f>
        <v/>
      </c>
    </row>
    <row r="137" spans="1:12" x14ac:dyDescent="0.3">
      <c r="A137" s="14"/>
      <c r="B137" s="15" t="str">
        <f t="shared" si="2"/>
        <v/>
      </c>
      <c r="C137" s="16"/>
      <c r="D137" s="16"/>
      <c r="E137" s="16"/>
      <c r="F137" s="17"/>
      <c r="G137" s="17"/>
      <c r="H137" s="18"/>
      <c r="I137" s="16"/>
      <c r="J137" s="19"/>
      <c r="K137" s="16"/>
      <c r="L137" s="15" t="str">
        <f>IFERROR(IF(A137="","",INT(A137)&amp;"-"&amp;COUNTIF($A$2:A137,A137)),"")</f>
        <v/>
      </c>
    </row>
    <row r="138" spans="1:12" x14ac:dyDescent="0.3">
      <c r="A138" s="14"/>
      <c r="B138" s="15" t="str">
        <f t="shared" si="2"/>
        <v/>
      </c>
      <c r="C138" s="16"/>
      <c r="D138" s="16"/>
      <c r="E138" s="16"/>
      <c r="F138" s="17"/>
      <c r="G138" s="17"/>
      <c r="H138" s="18"/>
      <c r="I138" s="16"/>
      <c r="J138" s="19"/>
      <c r="K138" s="16"/>
      <c r="L138" s="15" t="str">
        <f>IFERROR(IF(A138="","",INT(A138)&amp;"-"&amp;COUNTIF($A$2:A138,A138)),"")</f>
        <v/>
      </c>
    </row>
    <row r="139" spans="1:12" x14ac:dyDescent="0.3">
      <c r="A139" s="14"/>
      <c r="B139" s="15" t="str">
        <f t="shared" si="2"/>
        <v/>
      </c>
      <c r="C139" s="16"/>
      <c r="D139" s="16"/>
      <c r="E139" s="16"/>
      <c r="F139" s="17"/>
      <c r="G139" s="17"/>
      <c r="H139" s="18"/>
      <c r="I139" s="16"/>
      <c r="J139" s="19"/>
      <c r="K139" s="16"/>
      <c r="L139" s="15" t="str">
        <f>IFERROR(IF(A139="","",INT(A139)&amp;"-"&amp;COUNTIF($A$2:A139,A139)),"")</f>
        <v/>
      </c>
    </row>
    <row r="140" spans="1:12" x14ac:dyDescent="0.3">
      <c r="A140" s="14"/>
      <c r="B140" s="15" t="str">
        <f t="shared" si="2"/>
        <v/>
      </c>
      <c r="C140" s="16"/>
      <c r="D140" s="16"/>
      <c r="E140" s="16"/>
      <c r="F140" s="17"/>
      <c r="G140" s="17"/>
      <c r="H140" s="18"/>
      <c r="I140" s="16"/>
      <c r="J140" s="19"/>
      <c r="K140" s="16"/>
      <c r="L140" s="15" t="str">
        <f>IFERROR(IF(A140="","",INT(A140)&amp;"-"&amp;COUNTIF($A$2:A140,A140)),"")</f>
        <v/>
      </c>
    </row>
    <row r="141" spans="1:12" x14ac:dyDescent="0.3">
      <c r="A141" s="14"/>
      <c r="B141" s="15" t="str">
        <f t="shared" si="2"/>
        <v/>
      </c>
      <c r="C141" s="16"/>
      <c r="D141" s="16"/>
      <c r="E141" s="16"/>
      <c r="F141" s="17"/>
      <c r="G141" s="17"/>
      <c r="H141" s="18"/>
      <c r="I141" s="16"/>
      <c r="J141" s="19"/>
      <c r="K141" s="16"/>
      <c r="L141" s="15" t="str">
        <f>IFERROR(IF(A141="","",INT(A141)&amp;"-"&amp;COUNTIF($A$2:A141,A141)),"")</f>
        <v/>
      </c>
    </row>
    <row r="142" spans="1:12" x14ac:dyDescent="0.3">
      <c r="A142" s="14"/>
      <c r="B142" s="15" t="str">
        <f t="shared" si="2"/>
        <v/>
      </c>
      <c r="C142" s="16"/>
      <c r="D142" s="16"/>
      <c r="E142" s="16"/>
      <c r="F142" s="17"/>
      <c r="G142" s="17"/>
      <c r="H142" s="18"/>
      <c r="I142" s="16"/>
      <c r="J142" s="19"/>
      <c r="K142" s="16"/>
      <c r="L142" s="15" t="str">
        <f>IFERROR(IF(A142="","",INT(A142)&amp;"-"&amp;COUNTIF($A$2:A142,A142)),"")</f>
        <v/>
      </c>
    </row>
    <row r="143" spans="1:12" x14ac:dyDescent="0.3">
      <c r="A143" s="14"/>
      <c r="B143" s="15" t="str">
        <f t="shared" si="2"/>
        <v/>
      </c>
      <c r="C143" s="16"/>
      <c r="D143" s="16"/>
      <c r="E143" s="16"/>
      <c r="F143" s="17"/>
      <c r="G143" s="17"/>
      <c r="H143" s="18"/>
      <c r="I143" s="16"/>
      <c r="J143" s="19"/>
      <c r="K143" s="16"/>
      <c r="L143" s="15" t="str">
        <f>IFERROR(IF(A143="","",INT(A143)&amp;"-"&amp;COUNTIF($A$2:A143,A143)),"")</f>
        <v/>
      </c>
    </row>
    <row r="144" spans="1:12" x14ac:dyDescent="0.3">
      <c r="A144" s="14"/>
      <c r="B144" s="15" t="str">
        <f t="shared" si="2"/>
        <v/>
      </c>
      <c r="C144" s="16"/>
      <c r="D144" s="16"/>
      <c r="E144" s="16"/>
      <c r="F144" s="17"/>
      <c r="G144" s="17"/>
      <c r="H144" s="18"/>
      <c r="I144" s="16"/>
      <c r="J144" s="19"/>
      <c r="K144" s="16"/>
      <c r="L144" s="15" t="str">
        <f>IFERROR(IF(A144="","",INT(A144)&amp;"-"&amp;COUNTIF($A$2:A144,A144)),"")</f>
        <v/>
      </c>
    </row>
    <row r="145" spans="1:12" x14ac:dyDescent="0.3">
      <c r="A145" s="14"/>
      <c r="B145" s="15" t="str">
        <f t="shared" si="2"/>
        <v/>
      </c>
      <c r="C145" s="16"/>
      <c r="D145" s="16"/>
      <c r="E145" s="16"/>
      <c r="F145" s="17"/>
      <c r="G145" s="17"/>
      <c r="H145" s="18"/>
      <c r="I145" s="16"/>
      <c r="J145" s="19"/>
      <c r="K145" s="16"/>
      <c r="L145" s="15" t="str">
        <f>IFERROR(IF(A145="","",INT(A145)&amp;"-"&amp;COUNTIF($A$2:A145,A145)),"")</f>
        <v/>
      </c>
    </row>
    <row r="146" spans="1:12" x14ac:dyDescent="0.3">
      <c r="A146" s="14"/>
      <c r="B146" s="15" t="str">
        <f t="shared" si="2"/>
        <v/>
      </c>
      <c r="C146" s="16"/>
      <c r="D146" s="16"/>
      <c r="E146" s="16"/>
      <c r="F146" s="17"/>
      <c r="G146" s="17"/>
      <c r="H146" s="18"/>
      <c r="I146" s="16"/>
      <c r="J146" s="19"/>
      <c r="K146" s="16"/>
      <c r="L146" s="15" t="str">
        <f>IFERROR(IF(A146="","",INT(A146)&amp;"-"&amp;COUNTIF($A$2:A146,A146)),"")</f>
        <v/>
      </c>
    </row>
    <row r="147" spans="1:12" x14ac:dyDescent="0.3">
      <c r="A147" s="14"/>
      <c r="B147" s="15" t="str">
        <f t="shared" si="2"/>
        <v/>
      </c>
      <c r="C147" s="16"/>
      <c r="D147" s="16"/>
      <c r="E147" s="16"/>
      <c r="F147" s="17"/>
      <c r="G147" s="17"/>
      <c r="H147" s="18"/>
      <c r="I147" s="16"/>
      <c r="J147" s="19"/>
      <c r="K147" s="16"/>
      <c r="L147" s="15" t="str">
        <f>IFERROR(IF(A147="","",INT(A147)&amp;"-"&amp;COUNTIF($A$2:A147,A147)),"")</f>
        <v/>
      </c>
    </row>
    <row r="148" spans="1:12" x14ac:dyDescent="0.3">
      <c r="A148" s="14"/>
      <c r="B148" s="15" t="str">
        <f t="shared" si="2"/>
        <v/>
      </c>
      <c r="C148" s="16"/>
      <c r="D148" s="16"/>
      <c r="E148" s="16"/>
      <c r="F148" s="17"/>
      <c r="G148" s="17"/>
      <c r="H148" s="18"/>
      <c r="I148" s="16"/>
      <c r="J148" s="19"/>
      <c r="K148" s="16"/>
      <c r="L148" s="15" t="str">
        <f>IFERROR(IF(A148="","",INT(A148)&amp;"-"&amp;COUNTIF($A$2:A148,A148)),"")</f>
        <v/>
      </c>
    </row>
    <row r="149" spans="1:12" x14ac:dyDescent="0.3">
      <c r="A149" s="14"/>
      <c r="B149" s="15" t="str">
        <f t="shared" si="2"/>
        <v/>
      </c>
      <c r="C149" s="16"/>
      <c r="D149" s="16"/>
      <c r="E149" s="16"/>
      <c r="F149" s="17"/>
      <c r="G149" s="17"/>
      <c r="H149" s="18"/>
      <c r="I149" s="16"/>
      <c r="J149" s="19"/>
      <c r="K149" s="16"/>
      <c r="L149" s="15" t="str">
        <f>IFERROR(IF(A149="","",INT(A149)&amp;"-"&amp;COUNTIF($A$2:A149,A149)),"")</f>
        <v/>
      </c>
    </row>
    <row r="150" spans="1:12" x14ac:dyDescent="0.3">
      <c r="A150" s="14"/>
      <c r="B150" s="15" t="str">
        <f t="shared" si="2"/>
        <v/>
      </c>
      <c r="C150" s="16"/>
      <c r="D150" s="16"/>
      <c r="E150" s="16"/>
      <c r="F150" s="17"/>
      <c r="G150" s="17"/>
      <c r="H150" s="18"/>
      <c r="I150" s="16"/>
      <c r="J150" s="19"/>
      <c r="K150" s="16"/>
      <c r="L150" s="15" t="str">
        <f>IFERROR(IF(A150="","",INT(A150)&amp;"-"&amp;COUNTIF($A$2:A150,A150)),"")</f>
        <v/>
      </c>
    </row>
    <row r="151" spans="1:12" x14ac:dyDescent="0.3">
      <c r="A151" s="14"/>
      <c r="B151" s="15" t="str">
        <f t="shared" si="2"/>
        <v/>
      </c>
      <c r="C151" s="16"/>
      <c r="D151" s="16"/>
      <c r="E151" s="16"/>
      <c r="F151" s="17"/>
      <c r="G151" s="17"/>
      <c r="H151" s="18"/>
      <c r="I151" s="16"/>
      <c r="J151" s="19"/>
      <c r="K151" s="16"/>
      <c r="L151" s="15" t="str">
        <f>IFERROR(IF(A151="","",INT(A151)&amp;"-"&amp;COUNTIF($A$2:A151,A151)),"")</f>
        <v/>
      </c>
    </row>
    <row r="152" spans="1:12" x14ac:dyDescent="0.3">
      <c r="A152" s="14"/>
      <c r="B152" s="15" t="str">
        <f t="shared" si="2"/>
        <v/>
      </c>
      <c r="C152" s="16"/>
      <c r="D152" s="16"/>
      <c r="E152" s="16"/>
      <c r="F152" s="17"/>
      <c r="G152" s="17"/>
      <c r="H152" s="18"/>
      <c r="I152" s="16"/>
      <c r="J152" s="19"/>
      <c r="K152" s="16"/>
      <c r="L152" s="15" t="str">
        <f>IFERROR(IF(A152="","",INT(A152)&amp;"-"&amp;COUNTIF($A$2:A152,A152)),"")</f>
        <v/>
      </c>
    </row>
    <row r="153" spans="1:12" x14ac:dyDescent="0.3">
      <c r="A153" s="14"/>
      <c r="B153" s="15" t="str">
        <f t="shared" si="2"/>
        <v/>
      </c>
      <c r="C153" s="16"/>
      <c r="D153" s="16"/>
      <c r="E153" s="16"/>
      <c r="F153" s="17"/>
      <c r="G153" s="17"/>
      <c r="H153" s="18"/>
      <c r="I153" s="16"/>
      <c r="J153" s="19"/>
      <c r="K153" s="16"/>
      <c r="L153" s="15" t="str">
        <f>IFERROR(IF(A153="","",INT(A153)&amp;"-"&amp;COUNTIF($A$2:A153,A153)),"")</f>
        <v/>
      </c>
    </row>
    <row r="154" spans="1:12" x14ac:dyDescent="0.3">
      <c r="A154" s="14"/>
      <c r="B154" s="15" t="str">
        <f t="shared" si="2"/>
        <v/>
      </c>
      <c r="C154" s="16"/>
      <c r="D154" s="16"/>
      <c r="E154" s="16"/>
      <c r="F154" s="17"/>
      <c r="G154" s="17"/>
      <c r="H154" s="18"/>
      <c r="I154" s="16"/>
      <c r="J154" s="19"/>
      <c r="K154" s="16"/>
      <c r="L154" s="15" t="str">
        <f>IFERROR(IF(A154="","",INT(A154)&amp;"-"&amp;COUNTIF($A$2:A154,A154)),"")</f>
        <v/>
      </c>
    </row>
    <row r="155" spans="1:12" x14ac:dyDescent="0.3">
      <c r="A155" s="14"/>
      <c r="B155" s="15" t="str">
        <f t="shared" si="2"/>
        <v/>
      </c>
      <c r="C155" s="16"/>
      <c r="D155" s="16"/>
      <c r="E155" s="16"/>
      <c r="F155" s="17"/>
      <c r="G155" s="17"/>
      <c r="H155" s="18"/>
      <c r="I155" s="16"/>
      <c r="J155" s="19"/>
      <c r="K155" s="16"/>
      <c r="L155" s="15" t="str">
        <f>IFERROR(IF(A155="","",INT(A155)&amp;"-"&amp;COUNTIF($A$2:A155,A155)),"")</f>
        <v/>
      </c>
    </row>
    <row r="156" spans="1:12" x14ac:dyDescent="0.3">
      <c r="A156" s="14"/>
      <c r="B156" s="15" t="str">
        <f t="shared" si="2"/>
        <v/>
      </c>
      <c r="C156" s="16"/>
      <c r="D156" s="16"/>
      <c r="E156" s="16"/>
      <c r="F156" s="17"/>
      <c r="G156" s="17"/>
      <c r="H156" s="18"/>
      <c r="I156" s="16"/>
      <c r="J156" s="19"/>
      <c r="K156" s="16"/>
      <c r="L156" s="15" t="str">
        <f>IFERROR(IF(A156="","",INT(A156)&amp;"-"&amp;COUNTIF($A$2:A156,A156)),"")</f>
        <v/>
      </c>
    </row>
    <row r="157" spans="1:12" x14ac:dyDescent="0.3">
      <c r="A157" s="14"/>
      <c r="B157" s="15" t="str">
        <f t="shared" si="2"/>
        <v/>
      </c>
      <c r="C157" s="16"/>
      <c r="D157" s="16"/>
      <c r="E157" s="16"/>
      <c r="F157" s="17"/>
      <c r="G157" s="17"/>
      <c r="H157" s="18"/>
      <c r="I157" s="16"/>
      <c r="J157" s="19"/>
      <c r="K157" s="16"/>
      <c r="L157" s="15" t="str">
        <f>IFERROR(IF(A157="","",INT(A157)&amp;"-"&amp;COUNTIF($A$2:A157,A157)),"")</f>
        <v/>
      </c>
    </row>
    <row r="158" spans="1:12" x14ac:dyDescent="0.3">
      <c r="A158" s="14"/>
      <c r="B158" s="15" t="str">
        <f t="shared" si="2"/>
        <v/>
      </c>
      <c r="C158" s="16"/>
      <c r="D158" s="16"/>
      <c r="E158" s="16"/>
      <c r="F158" s="17"/>
      <c r="G158" s="17"/>
      <c r="H158" s="18"/>
      <c r="I158" s="16"/>
      <c r="J158" s="19"/>
      <c r="K158" s="16"/>
      <c r="L158" s="15" t="str">
        <f>IFERROR(IF(A158="","",INT(A158)&amp;"-"&amp;COUNTIF($A$2:A158,A158)),"")</f>
        <v/>
      </c>
    </row>
    <row r="159" spans="1:12" x14ac:dyDescent="0.3">
      <c r="A159" s="14"/>
      <c r="B159" s="15" t="str">
        <f t="shared" si="2"/>
        <v/>
      </c>
      <c r="C159" s="16"/>
      <c r="D159" s="16"/>
      <c r="E159" s="16"/>
      <c r="F159" s="17"/>
      <c r="G159" s="17"/>
      <c r="H159" s="18"/>
      <c r="I159" s="16"/>
      <c r="J159" s="19"/>
      <c r="K159" s="16"/>
      <c r="L159" s="15" t="str">
        <f>IFERROR(IF(A159="","",INT(A159)&amp;"-"&amp;COUNTIF($A$2:A159,A159)),"")</f>
        <v/>
      </c>
    </row>
    <row r="160" spans="1:12" x14ac:dyDescent="0.3">
      <c r="A160" s="14"/>
      <c r="B160" s="15" t="str">
        <f t="shared" si="2"/>
        <v/>
      </c>
      <c r="C160" s="16"/>
      <c r="D160" s="16"/>
      <c r="E160" s="16"/>
      <c r="F160" s="17"/>
      <c r="G160" s="17"/>
      <c r="H160" s="18"/>
      <c r="I160" s="16"/>
      <c r="J160" s="19"/>
      <c r="K160" s="16"/>
      <c r="L160" s="15" t="str">
        <f>IFERROR(IF(A160="","",INT(A160)&amp;"-"&amp;COUNTIF($A$2:A160,A160)),"")</f>
        <v/>
      </c>
    </row>
    <row r="161" spans="1:12" x14ac:dyDescent="0.3">
      <c r="A161" s="14"/>
      <c r="B161" s="15" t="str">
        <f t="shared" si="2"/>
        <v/>
      </c>
      <c r="C161" s="16"/>
      <c r="D161" s="16"/>
      <c r="E161" s="16"/>
      <c r="F161" s="17"/>
      <c r="G161" s="17"/>
      <c r="H161" s="18"/>
      <c r="I161" s="16"/>
      <c r="J161" s="19"/>
      <c r="K161" s="16"/>
      <c r="L161" s="15" t="str">
        <f>IFERROR(IF(A161="","",INT(A161)&amp;"-"&amp;COUNTIF($A$2:A161,A161)),"")</f>
        <v/>
      </c>
    </row>
    <row r="162" spans="1:12" x14ac:dyDescent="0.3">
      <c r="A162" s="14"/>
      <c r="B162" s="15" t="str">
        <f t="shared" si="2"/>
        <v/>
      </c>
      <c r="C162" s="16"/>
      <c r="D162" s="16"/>
      <c r="E162" s="16"/>
      <c r="F162" s="17"/>
      <c r="G162" s="17"/>
      <c r="H162" s="18"/>
      <c r="I162" s="16"/>
      <c r="J162" s="19"/>
      <c r="K162" s="16"/>
      <c r="L162" s="15" t="str">
        <f>IFERROR(IF(A162="","",INT(A162)&amp;"-"&amp;COUNTIF($A$2:A162,A162)),"")</f>
        <v/>
      </c>
    </row>
    <row r="163" spans="1:12" x14ac:dyDescent="0.3">
      <c r="A163" s="14"/>
      <c r="B163" s="15" t="str">
        <f t="shared" si="2"/>
        <v/>
      </c>
      <c r="C163" s="16"/>
      <c r="D163" s="16"/>
      <c r="E163" s="16"/>
      <c r="F163" s="17"/>
      <c r="G163" s="17"/>
      <c r="H163" s="18"/>
      <c r="I163" s="16"/>
      <c r="J163" s="19"/>
      <c r="K163" s="16"/>
      <c r="L163" s="15" t="str">
        <f>IFERROR(IF(A163="","",INT(A163)&amp;"-"&amp;COUNTIF($A$2:A163,A163)),"")</f>
        <v/>
      </c>
    </row>
    <row r="164" spans="1:12" x14ac:dyDescent="0.3">
      <c r="A164" s="14"/>
      <c r="B164" s="15" t="str">
        <f t="shared" si="2"/>
        <v/>
      </c>
      <c r="C164" s="16"/>
      <c r="D164" s="16"/>
      <c r="E164" s="16"/>
      <c r="F164" s="17"/>
      <c r="G164" s="17"/>
      <c r="H164" s="18"/>
      <c r="I164" s="16"/>
      <c r="J164" s="19"/>
      <c r="K164" s="16"/>
      <c r="L164" s="15" t="str">
        <f>IFERROR(IF(A164="","",INT(A164)&amp;"-"&amp;COUNTIF($A$2:A164,A164)),"")</f>
        <v/>
      </c>
    </row>
    <row r="165" spans="1:12" x14ac:dyDescent="0.3">
      <c r="A165" s="14"/>
      <c r="B165" s="15" t="str">
        <f t="shared" si="2"/>
        <v/>
      </c>
      <c r="C165" s="16"/>
      <c r="D165" s="16"/>
      <c r="E165" s="16"/>
      <c r="F165" s="17"/>
      <c r="G165" s="17"/>
      <c r="H165" s="18"/>
      <c r="I165" s="16"/>
      <c r="J165" s="19"/>
      <c r="K165" s="16"/>
      <c r="L165" s="15" t="str">
        <f>IFERROR(IF(A165="","",INT(A165)&amp;"-"&amp;COUNTIF($A$2:A165,A165)),"")</f>
        <v/>
      </c>
    </row>
    <row r="166" spans="1:12" x14ac:dyDescent="0.3">
      <c r="A166" s="14"/>
      <c r="B166" s="15" t="str">
        <f t="shared" si="2"/>
        <v/>
      </c>
      <c r="C166" s="16"/>
      <c r="D166" s="16"/>
      <c r="E166" s="16"/>
      <c r="F166" s="17"/>
      <c r="G166" s="17"/>
      <c r="H166" s="18"/>
      <c r="I166" s="16"/>
      <c r="J166" s="19"/>
      <c r="K166" s="16"/>
      <c r="L166" s="15" t="str">
        <f>IFERROR(IF(A166="","",INT(A166)&amp;"-"&amp;COUNTIF($A$2:A166,A166)),"")</f>
        <v/>
      </c>
    </row>
    <row r="167" spans="1:12" x14ac:dyDescent="0.3">
      <c r="A167" s="14"/>
      <c r="B167" s="15" t="str">
        <f t="shared" si="2"/>
        <v/>
      </c>
      <c r="C167" s="16"/>
      <c r="D167" s="16"/>
      <c r="E167" s="16"/>
      <c r="F167" s="17"/>
      <c r="G167" s="17"/>
      <c r="H167" s="18"/>
      <c r="I167" s="16"/>
      <c r="J167" s="19"/>
      <c r="K167" s="16"/>
      <c r="L167" s="15" t="str">
        <f>IFERROR(IF(A167="","",INT(A167)&amp;"-"&amp;COUNTIF($A$2:A167,A167)),"")</f>
        <v/>
      </c>
    </row>
    <row r="168" spans="1:12" x14ac:dyDescent="0.3">
      <c r="A168" s="14"/>
      <c r="B168" s="15" t="str">
        <f t="shared" si="2"/>
        <v/>
      </c>
      <c r="C168" s="16"/>
      <c r="D168" s="16"/>
      <c r="E168" s="16"/>
      <c r="F168" s="17"/>
      <c r="G168" s="17"/>
      <c r="H168" s="18"/>
      <c r="I168" s="16"/>
      <c r="J168" s="19"/>
      <c r="K168" s="16"/>
      <c r="L168" s="15" t="str">
        <f>IFERROR(IF(A168="","",INT(A168)&amp;"-"&amp;COUNTIF($A$2:A168,A168)),"")</f>
        <v/>
      </c>
    </row>
    <row r="169" spans="1:12" x14ac:dyDescent="0.3">
      <c r="A169" s="14"/>
      <c r="B169" s="15" t="str">
        <f t="shared" si="2"/>
        <v/>
      </c>
      <c r="C169" s="16"/>
      <c r="D169" s="16"/>
      <c r="E169" s="16"/>
      <c r="F169" s="17"/>
      <c r="G169" s="17"/>
      <c r="H169" s="18"/>
      <c r="I169" s="16"/>
      <c r="J169" s="19"/>
      <c r="K169" s="16"/>
      <c r="L169" s="15" t="str">
        <f>IFERROR(IF(A169="","",INT(A169)&amp;"-"&amp;COUNTIF($A$2:A169,A169)),"")</f>
        <v/>
      </c>
    </row>
    <row r="170" spans="1:12" x14ac:dyDescent="0.3">
      <c r="A170" s="14"/>
      <c r="B170" s="15" t="str">
        <f t="shared" si="2"/>
        <v/>
      </c>
      <c r="C170" s="16"/>
      <c r="D170" s="16"/>
      <c r="E170" s="16"/>
      <c r="F170" s="17"/>
      <c r="G170" s="17"/>
      <c r="H170" s="18"/>
      <c r="I170" s="16"/>
      <c r="J170" s="19"/>
      <c r="K170" s="16"/>
      <c r="L170" s="15" t="str">
        <f>IFERROR(IF(A170="","",INT(A170)&amp;"-"&amp;COUNTIF($A$2:A170,A170)),"")</f>
        <v/>
      </c>
    </row>
    <row r="171" spans="1:12" x14ac:dyDescent="0.3">
      <c r="A171" s="14"/>
      <c r="B171" s="15" t="str">
        <f t="shared" si="2"/>
        <v/>
      </c>
      <c r="C171" s="16"/>
      <c r="D171" s="16"/>
      <c r="E171" s="16"/>
      <c r="F171" s="17"/>
      <c r="G171" s="17"/>
      <c r="H171" s="18"/>
      <c r="I171" s="16"/>
      <c r="J171" s="19"/>
      <c r="K171" s="16"/>
      <c r="L171" s="15" t="str">
        <f>IFERROR(IF(A171="","",INT(A171)&amp;"-"&amp;COUNTIF($A$2:A171,A171)),"")</f>
        <v/>
      </c>
    </row>
    <row r="172" spans="1:12" x14ac:dyDescent="0.3">
      <c r="A172" s="14"/>
      <c r="B172" s="15" t="str">
        <f t="shared" si="2"/>
        <v/>
      </c>
      <c r="C172" s="16"/>
      <c r="D172" s="16"/>
      <c r="E172" s="16"/>
      <c r="F172" s="17"/>
      <c r="G172" s="17"/>
      <c r="H172" s="18"/>
      <c r="I172" s="16"/>
      <c r="J172" s="19"/>
      <c r="K172" s="16"/>
      <c r="L172" s="15" t="str">
        <f>IFERROR(IF(A172="","",INT(A172)&amp;"-"&amp;COUNTIF($A$2:A172,A172)),"")</f>
        <v/>
      </c>
    </row>
    <row r="173" spans="1:12" x14ac:dyDescent="0.3">
      <c r="A173" s="14"/>
      <c r="B173" s="15" t="str">
        <f t="shared" si="2"/>
        <v/>
      </c>
      <c r="C173" s="16"/>
      <c r="D173" s="16"/>
      <c r="E173" s="16"/>
      <c r="F173" s="17"/>
      <c r="G173" s="17"/>
      <c r="H173" s="18"/>
      <c r="I173" s="16"/>
      <c r="J173" s="19"/>
      <c r="K173" s="16"/>
      <c r="L173" s="15" t="str">
        <f>IFERROR(IF(A173="","",INT(A173)&amp;"-"&amp;COUNTIF($A$2:A173,A173)),"")</f>
        <v/>
      </c>
    </row>
    <row r="174" spans="1:12" x14ac:dyDescent="0.3">
      <c r="A174" s="14"/>
      <c r="B174" s="15" t="str">
        <f t="shared" si="2"/>
        <v/>
      </c>
      <c r="C174" s="16"/>
      <c r="D174" s="16"/>
      <c r="E174" s="16"/>
      <c r="F174" s="17"/>
      <c r="G174" s="17"/>
      <c r="H174" s="18"/>
      <c r="I174" s="16"/>
      <c r="J174" s="19"/>
      <c r="K174" s="16"/>
      <c r="L174" s="15" t="str">
        <f>IFERROR(IF(A174="","",INT(A174)&amp;"-"&amp;COUNTIF($A$2:A174,A174)),"")</f>
        <v/>
      </c>
    </row>
    <row r="175" spans="1:12" x14ac:dyDescent="0.3">
      <c r="A175" s="14"/>
      <c r="B175" s="15" t="str">
        <f t="shared" si="2"/>
        <v/>
      </c>
      <c r="C175" s="16"/>
      <c r="D175" s="16"/>
      <c r="E175" s="16"/>
      <c r="F175" s="17"/>
      <c r="G175" s="17"/>
      <c r="H175" s="18"/>
      <c r="I175" s="16"/>
      <c r="J175" s="19"/>
      <c r="K175" s="16"/>
      <c r="L175" s="15" t="str">
        <f>IFERROR(IF(A175="","",INT(A175)&amp;"-"&amp;COUNTIF($A$2:A175,A175)),"")</f>
        <v/>
      </c>
    </row>
    <row r="176" spans="1:12" x14ac:dyDescent="0.3">
      <c r="A176" s="14"/>
      <c r="B176" s="15" t="str">
        <f t="shared" si="2"/>
        <v/>
      </c>
      <c r="C176" s="16"/>
      <c r="D176" s="16"/>
      <c r="E176" s="16"/>
      <c r="F176" s="17"/>
      <c r="G176" s="17"/>
      <c r="H176" s="18"/>
      <c r="I176" s="16"/>
      <c r="J176" s="19"/>
      <c r="K176" s="16"/>
      <c r="L176" s="15" t="str">
        <f>IFERROR(IF(A176="","",INT(A176)&amp;"-"&amp;COUNTIF($A$2:A176,A176)),"")</f>
        <v/>
      </c>
    </row>
    <row r="177" spans="1:12" x14ac:dyDescent="0.3">
      <c r="A177" s="14"/>
      <c r="B177" s="15" t="str">
        <f t="shared" si="2"/>
        <v/>
      </c>
      <c r="C177" s="16"/>
      <c r="D177" s="16"/>
      <c r="E177" s="16"/>
      <c r="F177" s="17"/>
      <c r="G177" s="17"/>
      <c r="H177" s="18"/>
      <c r="I177" s="16"/>
      <c r="J177" s="19"/>
      <c r="K177" s="16"/>
      <c r="L177" s="15" t="str">
        <f>IFERROR(IF(A177="","",INT(A177)&amp;"-"&amp;COUNTIF($A$2:A177,A177)),"")</f>
        <v/>
      </c>
    </row>
    <row r="178" spans="1:12" x14ac:dyDescent="0.3">
      <c r="A178" s="14"/>
      <c r="B178" s="15" t="str">
        <f t="shared" si="2"/>
        <v/>
      </c>
      <c r="C178" s="16"/>
      <c r="D178" s="16"/>
      <c r="E178" s="16"/>
      <c r="F178" s="17"/>
      <c r="G178" s="17"/>
      <c r="H178" s="18"/>
      <c r="I178" s="16"/>
      <c r="J178" s="19"/>
      <c r="K178" s="16"/>
      <c r="L178" s="15" t="str">
        <f>IFERROR(IF(A178="","",INT(A178)&amp;"-"&amp;COUNTIF($A$2:A178,A178)),"")</f>
        <v/>
      </c>
    </row>
    <row r="179" spans="1:12" x14ac:dyDescent="0.3">
      <c r="A179" s="14"/>
      <c r="B179" s="15" t="str">
        <f t="shared" si="2"/>
        <v/>
      </c>
      <c r="C179" s="16"/>
      <c r="D179" s="16"/>
      <c r="E179" s="16"/>
      <c r="F179" s="17"/>
      <c r="G179" s="17"/>
      <c r="H179" s="18"/>
      <c r="I179" s="16"/>
      <c r="J179" s="19"/>
      <c r="K179" s="16"/>
      <c r="L179" s="15" t="str">
        <f>IFERROR(IF(A179="","",INT(A179)&amp;"-"&amp;COUNTIF($A$2:A179,A179)),"")</f>
        <v/>
      </c>
    </row>
    <row r="180" spans="1:12" x14ac:dyDescent="0.3">
      <c r="A180" s="14"/>
      <c r="B180" s="15" t="str">
        <f t="shared" si="2"/>
        <v/>
      </c>
      <c r="C180" s="16"/>
      <c r="D180" s="16"/>
      <c r="E180" s="16"/>
      <c r="F180" s="17"/>
      <c r="G180" s="17"/>
      <c r="H180" s="18"/>
      <c r="I180" s="16"/>
      <c r="J180" s="19"/>
      <c r="K180" s="16"/>
      <c r="L180" s="15" t="str">
        <f>IFERROR(IF(A180="","",INT(A180)&amp;"-"&amp;COUNTIF($A$2:A180,A180)),"")</f>
        <v/>
      </c>
    </row>
    <row r="181" spans="1:12" x14ac:dyDescent="0.3">
      <c r="A181" s="14"/>
      <c r="B181" s="15" t="str">
        <f t="shared" si="2"/>
        <v/>
      </c>
      <c r="C181" s="16"/>
      <c r="D181" s="16"/>
      <c r="E181" s="16"/>
      <c r="F181" s="17"/>
      <c r="G181" s="17"/>
      <c r="H181" s="18"/>
      <c r="I181" s="16"/>
      <c r="J181" s="19"/>
      <c r="K181" s="16"/>
      <c r="L181" s="15" t="str">
        <f>IFERROR(IF(A181="","",INT(A181)&amp;"-"&amp;COUNTIF($A$2:A181,A181)),"")</f>
        <v/>
      </c>
    </row>
    <row r="182" spans="1:12" x14ac:dyDescent="0.3">
      <c r="A182" s="14"/>
      <c r="B182" s="15" t="str">
        <f t="shared" si="2"/>
        <v/>
      </c>
      <c r="C182" s="16"/>
      <c r="D182" s="16"/>
      <c r="E182" s="16"/>
      <c r="F182" s="17"/>
      <c r="G182" s="17"/>
      <c r="H182" s="18"/>
      <c r="I182" s="16"/>
      <c r="J182" s="19"/>
      <c r="K182" s="16"/>
      <c r="L182" s="15" t="str">
        <f>IFERROR(IF(A182="","",INT(A182)&amp;"-"&amp;COUNTIF($A$2:A182,A182)),"")</f>
        <v/>
      </c>
    </row>
    <row r="183" spans="1:12" x14ac:dyDescent="0.3">
      <c r="A183" s="14"/>
      <c r="B183" s="15" t="str">
        <f t="shared" si="2"/>
        <v/>
      </c>
      <c r="C183" s="16"/>
      <c r="D183" s="16"/>
      <c r="E183" s="16"/>
      <c r="F183" s="17"/>
      <c r="G183" s="17"/>
      <c r="H183" s="18"/>
      <c r="I183" s="16"/>
      <c r="J183" s="19"/>
      <c r="K183" s="16"/>
      <c r="L183" s="15" t="str">
        <f>IFERROR(IF(A183="","",INT(A183)&amp;"-"&amp;COUNTIF($A$2:A183,A183)),"")</f>
        <v/>
      </c>
    </row>
    <row r="184" spans="1:12" x14ac:dyDescent="0.3">
      <c r="A184" s="14"/>
      <c r="B184" s="15" t="str">
        <f t="shared" si="2"/>
        <v/>
      </c>
      <c r="C184" s="16"/>
      <c r="D184" s="16"/>
      <c r="E184" s="16"/>
      <c r="F184" s="17"/>
      <c r="G184" s="17"/>
      <c r="H184" s="18"/>
      <c r="I184" s="16"/>
      <c r="J184" s="19"/>
      <c r="K184" s="16"/>
      <c r="L184" s="15" t="str">
        <f>IFERROR(IF(A184="","",INT(A184)&amp;"-"&amp;COUNTIF($A$2:A184,A184)),"")</f>
        <v/>
      </c>
    </row>
    <row r="185" spans="1:12" x14ac:dyDescent="0.3">
      <c r="A185" s="14"/>
      <c r="B185" s="15" t="str">
        <f t="shared" si="2"/>
        <v/>
      </c>
      <c r="C185" s="16"/>
      <c r="D185" s="16"/>
      <c r="E185" s="16"/>
      <c r="F185" s="17"/>
      <c r="G185" s="17"/>
      <c r="H185" s="18"/>
      <c r="I185" s="16"/>
      <c r="J185" s="19"/>
      <c r="K185" s="16"/>
      <c r="L185" s="15" t="str">
        <f>IFERROR(IF(A185="","",INT(A185)&amp;"-"&amp;COUNTIF($A$2:A185,A185)),"")</f>
        <v/>
      </c>
    </row>
    <row r="186" spans="1:12" x14ac:dyDescent="0.3">
      <c r="A186" s="14"/>
      <c r="B186" s="15" t="str">
        <f t="shared" si="2"/>
        <v/>
      </c>
      <c r="C186" s="16"/>
      <c r="D186" s="16"/>
      <c r="E186" s="16"/>
      <c r="F186" s="17"/>
      <c r="G186" s="17"/>
      <c r="H186" s="18"/>
      <c r="I186" s="16"/>
      <c r="J186" s="19"/>
      <c r="K186" s="16"/>
      <c r="L186" s="15" t="str">
        <f>IFERROR(IF(A186="","",INT(A186)&amp;"-"&amp;COUNTIF($A$2:A186,A186)),"")</f>
        <v/>
      </c>
    </row>
    <row r="187" spans="1:12" x14ac:dyDescent="0.3">
      <c r="A187" s="14"/>
      <c r="B187" s="15" t="str">
        <f t="shared" si="2"/>
        <v/>
      </c>
      <c r="C187" s="16"/>
      <c r="D187" s="16"/>
      <c r="E187" s="16"/>
      <c r="F187" s="17"/>
      <c r="G187" s="17"/>
      <c r="H187" s="18"/>
      <c r="I187" s="16"/>
      <c r="J187" s="19"/>
      <c r="K187" s="16"/>
      <c r="L187" s="15" t="str">
        <f>IFERROR(IF(A187="","",INT(A187)&amp;"-"&amp;COUNTIF($A$2:A187,A187)),"")</f>
        <v/>
      </c>
    </row>
    <row r="188" spans="1:12" x14ac:dyDescent="0.3">
      <c r="A188" s="14"/>
      <c r="B188" s="15" t="str">
        <f t="shared" si="2"/>
        <v/>
      </c>
      <c r="C188" s="16"/>
      <c r="D188" s="16"/>
      <c r="E188" s="16"/>
      <c r="F188" s="17"/>
      <c r="G188" s="17"/>
      <c r="H188" s="18"/>
      <c r="I188" s="16"/>
      <c r="J188" s="19"/>
      <c r="K188" s="16"/>
      <c r="L188" s="15" t="str">
        <f>IFERROR(IF(A188="","",INT(A188)&amp;"-"&amp;COUNTIF($A$2:A188,A188)),"")</f>
        <v/>
      </c>
    </row>
    <row r="189" spans="1:12" x14ac:dyDescent="0.3">
      <c r="A189" s="14"/>
      <c r="B189" s="15" t="str">
        <f t="shared" si="2"/>
        <v/>
      </c>
      <c r="C189" s="16"/>
      <c r="D189" s="16"/>
      <c r="E189" s="16"/>
      <c r="F189" s="17"/>
      <c r="G189" s="17"/>
      <c r="H189" s="18"/>
      <c r="I189" s="16"/>
      <c r="J189" s="19"/>
      <c r="K189" s="16"/>
      <c r="L189" s="15" t="str">
        <f>IFERROR(IF(A189="","",INT(A189)&amp;"-"&amp;COUNTIF($A$2:A189,A189)),"")</f>
        <v/>
      </c>
    </row>
    <row r="190" spans="1:12" x14ac:dyDescent="0.3">
      <c r="A190" s="14"/>
      <c r="B190" s="15" t="str">
        <f t="shared" si="2"/>
        <v/>
      </c>
      <c r="C190" s="16"/>
      <c r="D190" s="16"/>
      <c r="E190" s="16"/>
      <c r="F190" s="17"/>
      <c r="G190" s="17"/>
      <c r="H190" s="18"/>
      <c r="I190" s="16"/>
      <c r="J190" s="19"/>
      <c r="K190" s="16"/>
      <c r="L190" s="15" t="str">
        <f>IFERROR(IF(A190="","",INT(A190)&amp;"-"&amp;COUNTIF($A$2:A190,A190)),"")</f>
        <v/>
      </c>
    </row>
    <row r="191" spans="1:12" x14ac:dyDescent="0.3">
      <c r="A191" s="14"/>
      <c r="B191" s="15" t="str">
        <f t="shared" si="2"/>
        <v/>
      </c>
      <c r="C191" s="16"/>
      <c r="D191" s="16"/>
      <c r="E191" s="16"/>
      <c r="F191" s="17"/>
      <c r="G191" s="17"/>
      <c r="H191" s="18"/>
      <c r="I191" s="16"/>
      <c r="J191" s="19"/>
      <c r="K191" s="16"/>
      <c r="L191" s="15" t="str">
        <f>IFERROR(IF(A191="","",INT(A191)&amp;"-"&amp;COUNTIF($A$2:A191,A191)),"")</f>
        <v/>
      </c>
    </row>
    <row r="192" spans="1:12" x14ac:dyDescent="0.3">
      <c r="A192" s="14"/>
      <c r="B192" s="15" t="str">
        <f t="shared" si="2"/>
        <v/>
      </c>
      <c r="C192" s="16"/>
      <c r="D192" s="16"/>
      <c r="E192" s="16"/>
      <c r="F192" s="17"/>
      <c r="G192" s="17"/>
      <c r="H192" s="18"/>
      <c r="I192" s="16"/>
      <c r="J192" s="19"/>
      <c r="K192" s="16"/>
      <c r="L192" s="15" t="str">
        <f>IFERROR(IF(A192="","",INT(A192)&amp;"-"&amp;COUNTIF($A$2:A192,A192)),"")</f>
        <v/>
      </c>
    </row>
    <row r="193" spans="1:12" x14ac:dyDescent="0.3">
      <c r="A193" s="14"/>
      <c r="B193" s="15" t="str">
        <f t="shared" ref="B193:B256" si="3">IFERROR(IF(A193="","",CHOOSE(WEEKDAY(A193,2),"Segunda","Terça","Quarta","Quinta","Sexta","Sábado","Domingo")),"")</f>
        <v/>
      </c>
      <c r="C193" s="16"/>
      <c r="D193" s="16"/>
      <c r="E193" s="16"/>
      <c r="F193" s="17"/>
      <c r="G193" s="17"/>
      <c r="H193" s="18"/>
      <c r="I193" s="16"/>
      <c r="J193" s="19"/>
      <c r="K193" s="16"/>
      <c r="L193" s="15" t="str">
        <f>IFERROR(IF(A193="","",INT(A193)&amp;"-"&amp;COUNTIF($A$2:A193,A193)),"")</f>
        <v/>
      </c>
    </row>
    <row r="194" spans="1:12" x14ac:dyDescent="0.3">
      <c r="A194" s="14"/>
      <c r="B194" s="15" t="str">
        <f t="shared" si="3"/>
        <v/>
      </c>
      <c r="C194" s="16"/>
      <c r="D194" s="16"/>
      <c r="E194" s="16"/>
      <c r="F194" s="17"/>
      <c r="G194" s="17"/>
      <c r="H194" s="18"/>
      <c r="I194" s="16"/>
      <c r="J194" s="19"/>
      <c r="K194" s="16"/>
      <c r="L194" s="15" t="str">
        <f>IFERROR(IF(A194="","",INT(A194)&amp;"-"&amp;COUNTIF($A$2:A194,A194)),"")</f>
        <v/>
      </c>
    </row>
    <row r="195" spans="1:12" x14ac:dyDescent="0.3">
      <c r="A195" s="14"/>
      <c r="B195" s="15" t="str">
        <f t="shared" si="3"/>
        <v/>
      </c>
      <c r="C195" s="16"/>
      <c r="D195" s="16"/>
      <c r="E195" s="16"/>
      <c r="F195" s="17"/>
      <c r="G195" s="17"/>
      <c r="H195" s="18"/>
      <c r="I195" s="16"/>
      <c r="J195" s="19"/>
      <c r="K195" s="16"/>
      <c r="L195" s="15" t="str">
        <f>IFERROR(IF(A195="","",INT(A195)&amp;"-"&amp;COUNTIF($A$2:A195,A195)),"")</f>
        <v/>
      </c>
    </row>
    <row r="196" spans="1:12" x14ac:dyDescent="0.3">
      <c r="A196" s="14"/>
      <c r="B196" s="15" t="str">
        <f t="shared" si="3"/>
        <v/>
      </c>
      <c r="C196" s="16"/>
      <c r="D196" s="16"/>
      <c r="E196" s="16"/>
      <c r="F196" s="17"/>
      <c r="G196" s="17"/>
      <c r="H196" s="18"/>
      <c r="I196" s="16"/>
      <c r="J196" s="19"/>
      <c r="K196" s="16"/>
      <c r="L196" s="15" t="str">
        <f>IFERROR(IF(A196="","",INT(A196)&amp;"-"&amp;COUNTIF($A$2:A196,A196)),"")</f>
        <v/>
      </c>
    </row>
    <row r="197" spans="1:12" x14ac:dyDescent="0.3">
      <c r="A197" s="14"/>
      <c r="B197" s="15" t="str">
        <f t="shared" si="3"/>
        <v/>
      </c>
      <c r="C197" s="16"/>
      <c r="D197" s="16"/>
      <c r="E197" s="16"/>
      <c r="F197" s="17"/>
      <c r="G197" s="17"/>
      <c r="H197" s="18"/>
      <c r="I197" s="16"/>
      <c r="J197" s="19"/>
      <c r="K197" s="16"/>
      <c r="L197" s="15" t="str">
        <f>IFERROR(IF(A197="","",INT(A197)&amp;"-"&amp;COUNTIF($A$2:A197,A197)),"")</f>
        <v/>
      </c>
    </row>
    <row r="198" spans="1:12" x14ac:dyDescent="0.3">
      <c r="A198" s="14"/>
      <c r="B198" s="15" t="str">
        <f t="shared" si="3"/>
        <v/>
      </c>
      <c r="C198" s="16"/>
      <c r="D198" s="16"/>
      <c r="E198" s="16"/>
      <c r="F198" s="17"/>
      <c r="G198" s="17"/>
      <c r="H198" s="18"/>
      <c r="I198" s="16"/>
      <c r="J198" s="19"/>
      <c r="K198" s="16"/>
      <c r="L198" s="15" t="str">
        <f>IFERROR(IF(A198="","",INT(A198)&amp;"-"&amp;COUNTIF($A$2:A198,A198)),"")</f>
        <v/>
      </c>
    </row>
    <row r="199" spans="1:12" x14ac:dyDescent="0.3">
      <c r="A199" s="14"/>
      <c r="B199" s="15" t="str">
        <f t="shared" si="3"/>
        <v/>
      </c>
      <c r="C199" s="16"/>
      <c r="D199" s="16"/>
      <c r="E199" s="16"/>
      <c r="F199" s="17"/>
      <c r="G199" s="17"/>
      <c r="H199" s="18"/>
      <c r="I199" s="16"/>
      <c r="J199" s="19"/>
      <c r="K199" s="16"/>
      <c r="L199" s="15" t="str">
        <f>IFERROR(IF(A199="","",INT(A199)&amp;"-"&amp;COUNTIF($A$2:A199,A199)),"")</f>
        <v/>
      </c>
    </row>
    <row r="200" spans="1:12" x14ac:dyDescent="0.3">
      <c r="A200" s="14"/>
      <c r="B200" s="15" t="str">
        <f t="shared" si="3"/>
        <v/>
      </c>
      <c r="C200" s="16"/>
      <c r="D200" s="16"/>
      <c r="E200" s="16"/>
      <c r="F200" s="17"/>
      <c r="G200" s="17"/>
      <c r="H200" s="18"/>
      <c r="I200" s="16"/>
      <c r="J200" s="19"/>
      <c r="K200" s="16"/>
      <c r="L200" s="15" t="str">
        <f>IFERROR(IF(A200="","",INT(A200)&amp;"-"&amp;COUNTIF($A$2:A200,A200)),"")</f>
        <v/>
      </c>
    </row>
    <row r="201" spans="1:12" x14ac:dyDescent="0.3">
      <c r="A201" s="14"/>
      <c r="B201" s="15" t="str">
        <f t="shared" si="3"/>
        <v/>
      </c>
      <c r="C201" s="16"/>
      <c r="D201" s="16"/>
      <c r="E201" s="16"/>
      <c r="F201" s="17"/>
      <c r="G201" s="17"/>
      <c r="H201" s="18"/>
      <c r="I201" s="16"/>
      <c r="J201" s="19"/>
      <c r="K201" s="16"/>
      <c r="L201" s="15" t="str">
        <f>IFERROR(IF(A201="","",INT(A201)&amp;"-"&amp;COUNTIF($A$2:A201,A201)),"")</f>
        <v/>
      </c>
    </row>
    <row r="202" spans="1:12" x14ac:dyDescent="0.3">
      <c r="A202" s="14"/>
      <c r="B202" s="15" t="str">
        <f t="shared" si="3"/>
        <v/>
      </c>
      <c r="C202" s="16"/>
      <c r="D202" s="16"/>
      <c r="E202" s="16"/>
      <c r="F202" s="17"/>
      <c r="G202" s="17"/>
      <c r="H202" s="18"/>
      <c r="I202" s="16"/>
      <c r="J202" s="19"/>
      <c r="K202" s="16"/>
      <c r="L202" s="15" t="str">
        <f>IFERROR(IF(A202="","",INT(A202)&amp;"-"&amp;COUNTIF($A$2:A202,A202)),"")</f>
        <v/>
      </c>
    </row>
    <row r="203" spans="1:12" x14ac:dyDescent="0.3">
      <c r="A203" s="14"/>
      <c r="B203" s="15" t="str">
        <f t="shared" si="3"/>
        <v/>
      </c>
      <c r="C203" s="16"/>
      <c r="D203" s="16"/>
      <c r="E203" s="16"/>
      <c r="F203" s="17"/>
      <c r="G203" s="17"/>
      <c r="H203" s="18"/>
      <c r="I203" s="16"/>
      <c r="J203" s="19"/>
      <c r="K203" s="16"/>
      <c r="L203" s="15" t="str">
        <f>IFERROR(IF(A203="","",INT(A203)&amp;"-"&amp;COUNTIF($A$2:A203,A203)),"")</f>
        <v/>
      </c>
    </row>
    <row r="204" spans="1:12" x14ac:dyDescent="0.3">
      <c r="A204" s="14"/>
      <c r="B204" s="15" t="str">
        <f t="shared" si="3"/>
        <v/>
      </c>
      <c r="C204" s="16"/>
      <c r="D204" s="16"/>
      <c r="E204" s="16"/>
      <c r="F204" s="17"/>
      <c r="G204" s="17"/>
      <c r="H204" s="18"/>
      <c r="I204" s="16"/>
      <c r="J204" s="19"/>
      <c r="K204" s="16"/>
      <c r="L204" s="15" t="str">
        <f>IFERROR(IF(A204="","",INT(A204)&amp;"-"&amp;COUNTIF($A$2:A204,A204)),"")</f>
        <v/>
      </c>
    </row>
    <row r="205" spans="1:12" x14ac:dyDescent="0.3">
      <c r="A205" s="14"/>
      <c r="B205" s="15" t="str">
        <f t="shared" si="3"/>
        <v/>
      </c>
      <c r="C205" s="16"/>
      <c r="D205" s="16"/>
      <c r="E205" s="16"/>
      <c r="F205" s="17"/>
      <c r="G205" s="17"/>
      <c r="H205" s="18"/>
      <c r="I205" s="16"/>
      <c r="J205" s="19"/>
      <c r="K205" s="16"/>
      <c r="L205" s="15" t="str">
        <f>IFERROR(IF(A205="","",INT(A205)&amp;"-"&amp;COUNTIF($A$2:A205,A205)),"")</f>
        <v/>
      </c>
    </row>
    <row r="206" spans="1:12" x14ac:dyDescent="0.3">
      <c r="A206" s="14"/>
      <c r="B206" s="15" t="str">
        <f t="shared" si="3"/>
        <v/>
      </c>
      <c r="C206" s="16"/>
      <c r="D206" s="16"/>
      <c r="E206" s="16"/>
      <c r="F206" s="17"/>
      <c r="G206" s="17"/>
      <c r="H206" s="18"/>
      <c r="I206" s="16"/>
      <c r="J206" s="19"/>
      <c r="K206" s="16"/>
      <c r="L206" s="15" t="str">
        <f>IFERROR(IF(A206="","",INT(A206)&amp;"-"&amp;COUNTIF($A$2:A206,A206)),"")</f>
        <v/>
      </c>
    </row>
    <row r="207" spans="1:12" x14ac:dyDescent="0.3">
      <c r="A207" s="14"/>
      <c r="B207" s="15" t="str">
        <f t="shared" si="3"/>
        <v/>
      </c>
      <c r="C207" s="16"/>
      <c r="D207" s="16"/>
      <c r="E207" s="16"/>
      <c r="F207" s="17"/>
      <c r="G207" s="17"/>
      <c r="H207" s="18"/>
      <c r="I207" s="16"/>
      <c r="J207" s="19"/>
      <c r="K207" s="16"/>
      <c r="L207" s="15" t="str">
        <f>IFERROR(IF(A207="","",INT(A207)&amp;"-"&amp;COUNTIF($A$2:A207,A207)),"")</f>
        <v/>
      </c>
    </row>
    <row r="208" spans="1:12" x14ac:dyDescent="0.3">
      <c r="A208" s="14"/>
      <c r="B208" s="15" t="str">
        <f t="shared" si="3"/>
        <v/>
      </c>
      <c r="C208" s="16"/>
      <c r="D208" s="16"/>
      <c r="E208" s="16"/>
      <c r="F208" s="17"/>
      <c r="G208" s="17"/>
      <c r="H208" s="18"/>
      <c r="I208" s="16"/>
      <c r="J208" s="19"/>
      <c r="K208" s="16"/>
      <c r="L208" s="15" t="str">
        <f>IFERROR(IF(A208="","",INT(A208)&amp;"-"&amp;COUNTIF($A$2:A208,A208)),"")</f>
        <v/>
      </c>
    </row>
    <row r="209" spans="1:12" x14ac:dyDescent="0.3">
      <c r="A209" s="14"/>
      <c r="B209" s="15" t="str">
        <f t="shared" si="3"/>
        <v/>
      </c>
      <c r="C209" s="16"/>
      <c r="D209" s="16"/>
      <c r="E209" s="16"/>
      <c r="F209" s="17"/>
      <c r="G209" s="17"/>
      <c r="H209" s="18"/>
      <c r="I209" s="16"/>
      <c r="J209" s="19"/>
      <c r="K209" s="16"/>
      <c r="L209" s="15" t="str">
        <f>IFERROR(IF(A209="","",INT(A209)&amp;"-"&amp;COUNTIF($A$2:A209,A209)),"")</f>
        <v/>
      </c>
    </row>
    <row r="210" spans="1:12" x14ac:dyDescent="0.3">
      <c r="A210" s="14"/>
      <c r="B210" s="15" t="str">
        <f t="shared" si="3"/>
        <v/>
      </c>
      <c r="C210" s="16"/>
      <c r="D210" s="16"/>
      <c r="E210" s="16"/>
      <c r="F210" s="17"/>
      <c r="G210" s="17"/>
      <c r="H210" s="18"/>
      <c r="I210" s="16"/>
      <c r="J210" s="19"/>
      <c r="K210" s="16"/>
      <c r="L210" s="15" t="str">
        <f>IFERROR(IF(A210="","",INT(A210)&amp;"-"&amp;COUNTIF($A$2:A210,A210)),"")</f>
        <v/>
      </c>
    </row>
    <row r="211" spans="1:12" x14ac:dyDescent="0.3">
      <c r="A211" s="14"/>
      <c r="B211" s="15" t="str">
        <f t="shared" si="3"/>
        <v/>
      </c>
      <c r="C211" s="16"/>
      <c r="D211" s="16"/>
      <c r="E211" s="16"/>
      <c r="F211" s="17"/>
      <c r="G211" s="17"/>
      <c r="H211" s="18"/>
      <c r="I211" s="16"/>
      <c r="J211" s="19"/>
      <c r="K211" s="16"/>
      <c r="L211" s="15" t="str">
        <f>IFERROR(IF(A211="","",INT(A211)&amp;"-"&amp;COUNTIF($A$2:A211,A211)),"")</f>
        <v/>
      </c>
    </row>
    <row r="212" spans="1:12" x14ac:dyDescent="0.3">
      <c r="A212" s="14"/>
      <c r="B212" s="15" t="str">
        <f t="shared" si="3"/>
        <v/>
      </c>
      <c r="C212" s="16"/>
      <c r="D212" s="16"/>
      <c r="E212" s="16"/>
      <c r="F212" s="17"/>
      <c r="G212" s="17"/>
      <c r="H212" s="18"/>
      <c r="I212" s="16"/>
      <c r="J212" s="19"/>
      <c r="K212" s="16"/>
      <c r="L212" s="15" t="str">
        <f>IFERROR(IF(A212="","",INT(A212)&amp;"-"&amp;COUNTIF($A$2:A212,A212)),"")</f>
        <v/>
      </c>
    </row>
    <row r="213" spans="1:12" x14ac:dyDescent="0.3">
      <c r="A213" s="14"/>
      <c r="B213" s="15" t="str">
        <f t="shared" si="3"/>
        <v/>
      </c>
      <c r="C213" s="16"/>
      <c r="D213" s="16"/>
      <c r="E213" s="16"/>
      <c r="F213" s="17"/>
      <c r="G213" s="17"/>
      <c r="H213" s="18"/>
      <c r="I213" s="16"/>
      <c r="J213" s="19"/>
      <c r="K213" s="16"/>
      <c r="L213" s="15" t="str">
        <f>IFERROR(IF(A213="","",INT(A213)&amp;"-"&amp;COUNTIF($A$2:A213,A213)),"")</f>
        <v/>
      </c>
    </row>
    <row r="214" spans="1:12" x14ac:dyDescent="0.3">
      <c r="A214" s="14"/>
      <c r="B214" s="15" t="str">
        <f t="shared" si="3"/>
        <v/>
      </c>
      <c r="C214" s="16"/>
      <c r="D214" s="16"/>
      <c r="E214" s="16"/>
      <c r="F214" s="17"/>
      <c r="G214" s="17"/>
      <c r="H214" s="18"/>
      <c r="I214" s="16"/>
      <c r="J214" s="19"/>
      <c r="K214" s="16"/>
      <c r="L214" s="15" t="str">
        <f>IFERROR(IF(A214="","",INT(A214)&amp;"-"&amp;COUNTIF($A$2:A214,A214)),"")</f>
        <v/>
      </c>
    </row>
    <row r="215" spans="1:12" x14ac:dyDescent="0.3">
      <c r="A215" s="14"/>
      <c r="B215" s="15" t="str">
        <f t="shared" si="3"/>
        <v/>
      </c>
      <c r="C215" s="16"/>
      <c r="D215" s="16"/>
      <c r="E215" s="16"/>
      <c r="F215" s="17"/>
      <c r="G215" s="17"/>
      <c r="H215" s="18"/>
      <c r="I215" s="16"/>
      <c r="J215" s="19"/>
      <c r="K215" s="16"/>
      <c r="L215" s="15" t="str">
        <f>IFERROR(IF(A215="","",INT(A215)&amp;"-"&amp;COUNTIF($A$2:A215,A215)),"")</f>
        <v/>
      </c>
    </row>
    <row r="216" spans="1:12" x14ac:dyDescent="0.3">
      <c r="A216" s="14"/>
      <c r="B216" s="15" t="str">
        <f t="shared" si="3"/>
        <v/>
      </c>
      <c r="C216" s="16"/>
      <c r="D216" s="16"/>
      <c r="E216" s="16"/>
      <c r="F216" s="17"/>
      <c r="G216" s="17"/>
      <c r="H216" s="18"/>
      <c r="I216" s="16"/>
      <c r="J216" s="19"/>
      <c r="K216" s="16"/>
      <c r="L216" s="15" t="str">
        <f>IFERROR(IF(A216="","",INT(A216)&amp;"-"&amp;COUNTIF($A$2:A216,A216)),"")</f>
        <v/>
      </c>
    </row>
    <row r="217" spans="1:12" x14ac:dyDescent="0.3">
      <c r="A217" s="14"/>
      <c r="B217" s="15" t="str">
        <f t="shared" si="3"/>
        <v/>
      </c>
      <c r="C217" s="16"/>
      <c r="D217" s="16"/>
      <c r="E217" s="16"/>
      <c r="F217" s="17"/>
      <c r="G217" s="17"/>
      <c r="H217" s="18"/>
      <c r="I217" s="16"/>
      <c r="J217" s="19"/>
      <c r="K217" s="16"/>
      <c r="L217" s="15" t="str">
        <f>IFERROR(IF(A217="","",INT(A217)&amp;"-"&amp;COUNTIF($A$2:A217,A217)),"")</f>
        <v/>
      </c>
    </row>
    <row r="218" spans="1:12" x14ac:dyDescent="0.3">
      <c r="A218" s="14"/>
      <c r="B218" s="15" t="str">
        <f t="shared" si="3"/>
        <v/>
      </c>
      <c r="C218" s="16"/>
      <c r="D218" s="16"/>
      <c r="E218" s="16"/>
      <c r="F218" s="17"/>
      <c r="G218" s="17"/>
      <c r="H218" s="18"/>
      <c r="I218" s="16"/>
      <c r="J218" s="19"/>
      <c r="K218" s="16"/>
      <c r="L218" s="15" t="str">
        <f>IFERROR(IF(A218="","",INT(A218)&amp;"-"&amp;COUNTIF($A$2:A218,A218)),"")</f>
        <v/>
      </c>
    </row>
    <row r="219" spans="1:12" x14ac:dyDescent="0.3">
      <c r="A219" s="14"/>
      <c r="B219" s="15" t="str">
        <f t="shared" si="3"/>
        <v/>
      </c>
      <c r="C219" s="16"/>
      <c r="D219" s="16"/>
      <c r="E219" s="16"/>
      <c r="F219" s="17"/>
      <c r="G219" s="17"/>
      <c r="H219" s="18"/>
      <c r="I219" s="16"/>
      <c r="J219" s="19"/>
      <c r="K219" s="16"/>
      <c r="L219" s="15" t="str">
        <f>IFERROR(IF(A219="","",INT(A219)&amp;"-"&amp;COUNTIF($A$2:A219,A219)),"")</f>
        <v/>
      </c>
    </row>
    <row r="220" spans="1:12" x14ac:dyDescent="0.3">
      <c r="A220" s="14"/>
      <c r="B220" s="15" t="str">
        <f t="shared" si="3"/>
        <v/>
      </c>
      <c r="C220" s="16"/>
      <c r="D220" s="16"/>
      <c r="E220" s="16"/>
      <c r="F220" s="17"/>
      <c r="G220" s="17"/>
      <c r="H220" s="18"/>
      <c r="I220" s="16"/>
      <c r="J220" s="19"/>
      <c r="K220" s="16"/>
      <c r="L220" s="15" t="str">
        <f>IFERROR(IF(A220="","",INT(A220)&amp;"-"&amp;COUNTIF($A$2:A220,A220)),"")</f>
        <v/>
      </c>
    </row>
    <row r="221" spans="1:12" x14ac:dyDescent="0.3">
      <c r="A221" s="14"/>
      <c r="B221" s="15" t="str">
        <f t="shared" si="3"/>
        <v/>
      </c>
      <c r="C221" s="16"/>
      <c r="D221" s="16"/>
      <c r="E221" s="16"/>
      <c r="F221" s="17"/>
      <c r="G221" s="17"/>
      <c r="H221" s="18"/>
      <c r="I221" s="16"/>
      <c r="J221" s="19"/>
      <c r="K221" s="16"/>
      <c r="L221" s="15" t="str">
        <f>IFERROR(IF(A221="","",INT(A221)&amp;"-"&amp;COUNTIF($A$2:A221,A221)),"")</f>
        <v/>
      </c>
    </row>
    <row r="222" spans="1:12" x14ac:dyDescent="0.3">
      <c r="A222" s="14"/>
      <c r="B222" s="15" t="str">
        <f t="shared" si="3"/>
        <v/>
      </c>
      <c r="C222" s="16"/>
      <c r="D222" s="16"/>
      <c r="E222" s="16"/>
      <c r="F222" s="17"/>
      <c r="G222" s="17"/>
      <c r="H222" s="18"/>
      <c r="I222" s="16"/>
      <c r="J222" s="19"/>
      <c r="K222" s="16"/>
      <c r="L222" s="15" t="str">
        <f>IFERROR(IF(A222="","",INT(A222)&amp;"-"&amp;COUNTIF($A$2:A222,A222)),"")</f>
        <v/>
      </c>
    </row>
    <row r="223" spans="1:12" x14ac:dyDescent="0.3">
      <c r="A223" s="14"/>
      <c r="B223" s="15" t="str">
        <f t="shared" si="3"/>
        <v/>
      </c>
      <c r="C223" s="16"/>
      <c r="D223" s="16"/>
      <c r="E223" s="16"/>
      <c r="F223" s="17"/>
      <c r="G223" s="17"/>
      <c r="H223" s="18"/>
      <c r="I223" s="16"/>
      <c r="J223" s="19"/>
      <c r="K223" s="16"/>
      <c r="L223" s="15" t="str">
        <f>IFERROR(IF(A223="","",INT(A223)&amp;"-"&amp;COUNTIF($A$2:A223,A223)),"")</f>
        <v/>
      </c>
    </row>
    <row r="224" spans="1:12" x14ac:dyDescent="0.3">
      <c r="A224" s="14"/>
      <c r="B224" s="15" t="str">
        <f t="shared" si="3"/>
        <v/>
      </c>
      <c r="C224" s="16"/>
      <c r="D224" s="16"/>
      <c r="E224" s="16"/>
      <c r="F224" s="17"/>
      <c r="G224" s="17"/>
      <c r="H224" s="18"/>
      <c r="I224" s="16"/>
      <c r="J224" s="19"/>
      <c r="K224" s="16"/>
      <c r="L224" s="15" t="str">
        <f>IFERROR(IF(A224="","",INT(A224)&amp;"-"&amp;COUNTIF($A$2:A224,A224)),"")</f>
        <v/>
      </c>
    </row>
    <row r="225" spans="1:12" x14ac:dyDescent="0.3">
      <c r="A225" s="14"/>
      <c r="B225" s="15" t="str">
        <f t="shared" si="3"/>
        <v/>
      </c>
      <c r="C225" s="16"/>
      <c r="D225" s="16"/>
      <c r="E225" s="16"/>
      <c r="F225" s="17"/>
      <c r="G225" s="17"/>
      <c r="H225" s="18"/>
      <c r="I225" s="16"/>
      <c r="J225" s="19"/>
      <c r="K225" s="16"/>
      <c r="L225" s="15" t="str">
        <f>IFERROR(IF(A225="","",INT(A225)&amp;"-"&amp;COUNTIF($A$2:A225,A225)),"")</f>
        <v/>
      </c>
    </row>
    <row r="226" spans="1:12" x14ac:dyDescent="0.3">
      <c r="A226" s="14"/>
      <c r="B226" s="15" t="str">
        <f t="shared" si="3"/>
        <v/>
      </c>
      <c r="C226" s="16"/>
      <c r="D226" s="16"/>
      <c r="E226" s="16"/>
      <c r="F226" s="17"/>
      <c r="G226" s="17"/>
      <c r="H226" s="18"/>
      <c r="I226" s="16"/>
      <c r="J226" s="19"/>
      <c r="K226" s="16"/>
      <c r="L226" s="15" t="str">
        <f>IFERROR(IF(A226="","",INT(A226)&amp;"-"&amp;COUNTIF($A$2:A226,A226)),"")</f>
        <v/>
      </c>
    </row>
    <row r="227" spans="1:12" x14ac:dyDescent="0.3">
      <c r="A227" s="14"/>
      <c r="B227" s="15" t="str">
        <f t="shared" si="3"/>
        <v/>
      </c>
      <c r="C227" s="16"/>
      <c r="D227" s="16"/>
      <c r="E227" s="16"/>
      <c r="F227" s="17"/>
      <c r="G227" s="17"/>
      <c r="H227" s="18"/>
      <c r="I227" s="16"/>
      <c r="J227" s="19"/>
      <c r="K227" s="16"/>
      <c r="L227" s="15" t="str">
        <f>IFERROR(IF(A227="","",INT(A227)&amp;"-"&amp;COUNTIF($A$2:A227,A227)),"")</f>
        <v/>
      </c>
    </row>
    <row r="228" spans="1:12" x14ac:dyDescent="0.3">
      <c r="A228" s="14"/>
      <c r="B228" s="15" t="str">
        <f t="shared" si="3"/>
        <v/>
      </c>
      <c r="C228" s="16"/>
      <c r="D228" s="16"/>
      <c r="E228" s="16"/>
      <c r="F228" s="17"/>
      <c r="G228" s="17"/>
      <c r="H228" s="18"/>
      <c r="I228" s="16"/>
      <c r="J228" s="19"/>
      <c r="K228" s="16"/>
      <c r="L228" s="15" t="str">
        <f>IFERROR(IF(A228="","",INT(A228)&amp;"-"&amp;COUNTIF($A$2:A228,A228)),"")</f>
        <v/>
      </c>
    </row>
    <row r="229" spans="1:12" x14ac:dyDescent="0.3">
      <c r="A229" s="14"/>
      <c r="B229" s="15" t="str">
        <f t="shared" si="3"/>
        <v/>
      </c>
      <c r="C229" s="16"/>
      <c r="D229" s="16"/>
      <c r="E229" s="16"/>
      <c r="F229" s="17"/>
      <c r="G229" s="17"/>
      <c r="H229" s="18"/>
      <c r="I229" s="16"/>
      <c r="J229" s="19"/>
      <c r="K229" s="16"/>
      <c r="L229" s="15" t="str">
        <f>IFERROR(IF(A229="","",INT(A229)&amp;"-"&amp;COUNTIF($A$2:A229,A229)),"")</f>
        <v/>
      </c>
    </row>
    <row r="230" spans="1:12" x14ac:dyDescent="0.3">
      <c r="A230" s="14"/>
      <c r="B230" s="15" t="str">
        <f t="shared" si="3"/>
        <v/>
      </c>
      <c r="C230" s="16"/>
      <c r="D230" s="16"/>
      <c r="E230" s="16"/>
      <c r="F230" s="17"/>
      <c r="G230" s="17"/>
      <c r="H230" s="18"/>
      <c r="I230" s="16"/>
      <c r="J230" s="19"/>
      <c r="K230" s="16"/>
      <c r="L230" s="15" t="str">
        <f>IFERROR(IF(A230="","",INT(A230)&amp;"-"&amp;COUNTIF($A$2:A230,A230)),"")</f>
        <v/>
      </c>
    </row>
    <row r="231" spans="1:12" x14ac:dyDescent="0.3">
      <c r="A231" s="14"/>
      <c r="B231" s="15" t="str">
        <f t="shared" si="3"/>
        <v/>
      </c>
      <c r="C231" s="16"/>
      <c r="D231" s="16"/>
      <c r="E231" s="16"/>
      <c r="F231" s="17"/>
      <c r="G231" s="17"/>
      <c r="H231" s="18"/>
      <c r="I231" s="16"/>
      <c r="J231" s="19"/>
      <c r="K231" s="16"/>
      <c r="L231" s="15" t="str">
        <f>IFERROR(IF(A231="","",INT(A231)&amp;"-"&amp;COUNTIF($A$2:A231,A231)),"")</f>
        <v/>
      </c>
    </row>
    <row r="232" spans="1:12" x14ac:dyDescent="0.3">
      <c r="A232" s="14"/>
      <c r="B232" s="15" t="str">
        <f t="shared" si="3"/>
        <v/>
      </c>
      <c r="C232" s="16"/>
      <c r="D232" s="16"/>
      <c r="E232" s="16"/>
      <c r="F232" s="17"/>
      <c r="G232" s="17"/>
      <c r="H232" s="18"/>
      <c r="I232" s="16"/>
      <c r="J232" s="19"/>
      <c r="K232" s="16"/>
      <c r="L232" s="15" t="str">
        <f>IFERROR(IF(A232="","",INT(A232)&amp;"-"&amp;COUNTIF($A$2:A232,A232)),"")</f>
        <v/>
      </c>
    </row>
    <row r="233" spans="1:12" x14ac:dyDescent="0.3">
      <c r="A233" s="14"/>
      <c r="B233" s="15" t="str">
        <f t="shared" si="3"/>
        <v/>
      </c>
      <c r="C233" s="16"/>
      <c r="D233" s="16"/>
      <c r="E233" s="16"/>
      <c r="F233" s="17"/>
      <c r="G233" s="17"/>
      <c r="H233" s="18"/>
      <c r="I233" s="16"/>
      <c r="J233" s="19"/>
      <c r="K233" s="16"/>
      <c r="L233" s="15" t="str">
        <f>IFERROR(IF(A233="","",INT(A233)&amp;"-"&amp;COUNTIF($A$2:A233,A233)),"")</f>
        <v/>
      </c>
    </row>
    <row r="234" spans="1:12" x14ac:dyDescent="0.3">
      <c r="A234" s="14"/>
      <c r="B234" s="15" t="str">
        <f t="shared" si="3"/>
        <v/>
      </c>
      <c r="C234" s="16"/>
      <c r="D234" s="16"/>
      <c r="E234" s="16"/>
      <c r="F234" s="17"/>
      <c r="G234" s="17"/>
      <c r="H234" s="18"/>
      <c r="I234" s="16"/>
      <c r="J234" s="19"/>
      <c r="K234" s="16"/>
      <c r="L234" s="15" t="str">
        <f>IFERROR(IF(A234="","",INT(A234)&amp;"-"&amp;COUNTIF($A$2:A234,A234)),"")</f>
        <v/>
      </c>
    </row>
    <row r="235" spans="1:12" x14ac:dyDescent="0.3">
      <c r="A235" s="14"/>
      <c r="B235" s="15" t="str">
        <f t="shared" si="3"/>
        <v/>
      </c>
      <c r="C235" s="16"/>
      <c r="D235" s="16"/>
      <c r="E235" s="16"/>
      <c r="F235" s="17"/>
      <c r="G235" s="17"/>
      <c r="H235" s="18"/>
      <c r="I235" s="16"/>
      <c r="J235" s="19"/>
      <c r="K235" s="16"/>
      <c r="L235" s="15" t="str">
        <f>IFERROR(IF(A235="","",INT(A235)&amp;"-"&amp;COUNTIF($A$2:A235,A235)),"")</f>
        <v/>
      </c>
    </row>
    <row r="236" spans="1:12" x14ac:dyDescent="0.3">
      <c r="A236" s="14"/>
      <c r="B236" s="15" t="str">
        <f t="shared" si="3"/>
        <v/>
      </c>
      <c r="C236" s="16"/>
      <c r="D236" s="16"/>
      <c r="E236" s="16"/>
      <c r="F236" s="17"/>
      <c r="G236" s="17"/>
      <c r="H236" s="18"/>
      <c r="I236" s="16"/>
      <c r="J236" s="19"/>
      <c r="K236" s="16"/>
      <c r="L236" s="15" t="str">
        <f>IFERROR(IF(A236="","",INT(A236)&amp;"-"&amp;COUNTIF($A$2:A236,A236)),"")</f>
        <v/>
      </c>
    </row>
    <row r="237" spans="1:12" x14ac:dyDescent="0.3">
      <c r="A237" s="14"/>
      <c r="B237" s="15" t="str">
        <f t="shared" si="3"/>
        <v/>
      </c>
      <c r="C237" s="16"/>
      <c r="D237" s="16"/>
      <c r="E237" s="16"/>
      <c r="F237" s="17"/>
      <c r="G237" s="17"/>
      <c r="H237" s="18"/>
      <c r="I237" s="16"/>
      <c r="J237" s="19"/>
      <c r="K237" s="16"/>
      <c r="L237" s="15" t="str">
        <f>IFERROR(IF(A237="","",INT(A237)&amp;"-"&amp;COUNTIF($A$2:A237,A237)),"")</f>
        <v/>
      </c>
    </row>
    <row r="238" spans="1:12" x14ac:dyDescent="0.3">
      <c r="A238" s="14"/>
      <c r="B238" s="15" t="str">
        <f t="shared" si="3"/>
        <v/>
      </c>
      <c r="C238" s="16"/>
      <c r="D238" s="16"/>
      <c r="E238" s="16"/>
      <c r="F238" s="17"/>
      <c r="G238" s="17"/>
      <c r="H238" s="18"/>
      <c r="I238" s="16"/>
      <c r="J238" s="19"/>
      <c r="K238" s="16"/>
      <c r="L238" s="15" t="str">
        <f>IFERROR(IF(A238="","",INT(A238)&amp;"-"&amp;COUNTIF($A$2:A238,A238)),"")</f>
        <v/>
      </c>
    </row>
    <row r="239" spans="1:12" x14ac:dyDescent="0.3">
      <c r="A239" s="14"/>
      <c r="B239" s="15" t="str">
        <f t="shared" si="3"/>
        <v/>
      </c>
      <c r="C239" s="16"/>
      <c r="D239" s="16"/>
      <c r="E239" s="16"/>
      <c r="F239" s="17"/>
      <c r="G239" s="17"/>
      <c r="H239" s="18"/>
      <c r="I239" s="16"/>
      <c r="J239" s="19"/>
      <c r="K239" s="16"/>
      <c r="L239" s="15" t="str">
        <f>IFERROR(IF(A239="","",INT(A239)&amp;"-"&amp;COUNTIF($A$2:A239,A239)),"")</f>
        <v/>
      </c>
    </row>
    <row r="240" spans="1:12" x14ac:dyDescent="0.3">
      <c r="A240" s="14"/>
      <c r="B240" s="15" t="str">
        <f t="shared" si="3"/>
        <v/>
      </c>
      <c r="C240" s="16"/>
      <c r="D240" s="16"/>
      <c r="E240" s="16"/>
      <c r="F240" s="17"/>
      <c r="G240" s="17"/>
      <c r="H240" s="18"/>
      <c r="I240" s="16"/>
      <c r="J240" s="19"/>
      <c r="K240" s="16"/>
      <c r="L240" s="15" t="str">
        <f>IFERROR(IF(A240="","",INT(A240)&amp;"-"&amp;COUNTIF($A$2:A240,A240)),"")</f>
        <v/>
      </c>
    </row>
    <row r="241" spans="1:12" x14ac:dyDescent="0.3">
      <c r="A241" s="14"/>
      <c r="B241" s="15" t="str">
        <f t="shared" si="3"/>
        <v/>
      </c>
      <c r="C241" s="16"/>
      <c r="D241" s="16"/>
      <c r="E241" s="16"/>
      <c r="F241" s="17"/>
      <c r="G241" s="17"/>
      <c r="H241" s="18"/>
      <c r="I241" s="16"/>
      <c r="J241" s="19"/>
      <c r="K241" s="16"/>
      <c r="L241" s="15" t="str">
        <f>IFERROR(IF(A241="","",INT(A241)&amp;"-"&amp;COUNTIF($A$2:A241,A241)),"")</f>
        <v/>
      </c>
    </row>
    <row r="242" spans="1:12" x14ac:dyDescent="0.3">
      <c r="A242" s="14"/>
      <c r="B242" s="15" t="str">
        <f t="shared" si="3"/>
        <v/>
      </c>
      <c r="C242" s="16"/>
      <c r="D242" s="16"/>
      <c r="E242" s="16"/>
      <c r="F242" s="17"/>
      <c r="G242" s="17"/>
      <c r="H242" s="18"/>
      <c r="I242" s="16"/>
      <c r="J242" s="19"/>
      <c r="K242" s="16"/>
      <c r="L242" s="15" t="str">
        <f>IFERROR(IF(A242="","",INT(A242)&amp;"-"&amp;COUNTIF($A$2:A242,A242)),"")</f>
        <v/>
      </c>
    </row>
    <row r="243" spans="1:12" x14ac:dyDescent="0.3">
      <c r="A243" s="14"/>
      <c r="B243" s="15" t="str">
        <f t="shared" si="3"/>
        <v/>
      </c>
      <c r="C243" s="16"/>
      <c r="D243" s="16"/>
      <c r="E243" s="16"/>
      <c r="F243" s="17"/>
      <c r="G243" s="17"/>
      <c r="H243" s="18"/>
      <c r="I243" s="16"/>
      <c r="J243" s="19"/>
      <c r="K243" s="16"/>
      <c r="L243" s="15" t="str">
        <f>IFERROR(IF(A243="","",INT(A243)&amp;"-"&amp;COUNTIF($A$2:A243,A243)),"")</f>
        <v/>
      </c>
    </row>
    <row r="244" spans="1:12" x14ac:dyDescent="0.3">
      <c r="A244" s="14"/>
      <c r="B244" s="15" t="str">
        <f t="shared" si="3"/>
        <v/>
      </c>
      <c r="C244" s="16"/>
      <c r="D244" s="16"/>
      <c r="E244" s="16"/>
      <c r="F244" s="17"/>
      <c r="G244" s="17"/>
      <c r="H244" s="18"/>
      <c r="I244" s="16"/>
      <c r="J244" s="19"/>
      <c r="K244" s="16"/>
      <c r="L244" s="15" t="str">
        <f>IFERROR(IF(A244="","",INT(A244)&amp;"-"&amp;COUNTIF($A$2:A244,A244)),"")</f>
        <v/>
      </c>
    </row>
    <row r="245" spans="1:12" x14ac:dyDescent="0.3">
      <c r="A245" s="14"/>
      <c r="B245" s="15" t="str">
        <f t="shared" si="3"/>
        <v/>
      </c>
      <c r="C245" s="16"/>
      <c r="D245" s="16"/>
      <c r="E245" s="16"/>
      <c r="F245" s="17"/>
      <c r="G245" s="17"/>
      <c r="H245" s="18"/>
      <c r="I245" s="16"/>
      <c r="J245" s="19"/>
      <c r="K245" s="16"/>
      <c r="L245" s="15" t="str">
        <f>IFERROR(IF(A245="","",INT(A245)&amp;"-"&amp;COUNTIF($A$2:A245,A245)),"")</f>
        <v/>
      </c>
    </row>
    <row r="246" spans="1:12" x14ac:dyDescent="0.3">
      <c r="A246" s="14"/>
      <c r="B246" s="15" t="str">
        <f t="shared" si="3"/>
        <v/>
      </c>
      <c r="C246" s="16"/>
      <c r="D246" s="16"/>
      <c r="E246" s="16"/>
      <c r="F246" s="17"/>
      <c r="G246" s="17"/>
      <c r="H246" s="18"/>
      <c r="I246" s="16"/>
      <c r="J246" s="19"/>
      <c r="K246" s="16"/>
      <c r="L246" s="15" t="str">
        <f>IFERROR(IF(A246="","",INT(A246)&amp;"-"&amp;COUNTIF($A$2:A246,A246)),"")</f>
        <v/>
      </c>
    </row>
    <row r="247" spans="1:12" x14ac:dyDescent="0.3">
      <c r="A247" s="14"/>
      <c r="B247" s="15" t="str">
        <f t="shared" si="3"/>
        <v/>
      </c>
      <c r="C247" s="16"/>
      <c r="D247" s="16"/>
      <c r="E247" s="16"/>
      <c r="F247" s="17"/>
      <c r="G247" s="17"/>
      <c r="H247" s="18"/>
      <c r="I247" s="16"/>
      <c r="J247" s="19"/>
      <c r="K247" s="16"/>
      <c r="L247" s="15" t="str">
        <f>IFERROR(IF(A247="","",INT(A247)&amp;"-"&amp;COUNTIF($A$2:A247,A247)),"")</f>
        <v/>
      </c>
    </row>
    <row r="248" spans="1:12" x14ac:dyDescent="0.3">
      <c r="A248" s="14"/>
      <c r="B248" s="15" t="str">
        <f t="shared" si="3"/>
        <v/>
      </c>
      <c r="C248" s="16"/>
      <c r="D248" s="16"/>
      <c r="E248" s="16"/>
      <c r="F248" s="17"/>
      <c r="G248" s="17"/>
      <c r="H248" s="18"/>
      <c r="I248" s="16"/>
      <c r="J248" s="19"/>
      <c r="K248" s="16"/>
      <c r="L248" s="15" t="str">
        <f>IFERROR(IF(A248="","",INT(A248)&amp;"-"&amp;COUNTIF($A$2:A248,A248)),"")</f>
        <v/>
      </c>
    </row>
    <row r="249" spans="1:12" x14ac:dyDescent="0.3">
      <c r="A249" s="14"/>
      <c r="B249" s="15" t="str">
        <f t="shared" si="3"/>
        <v/>
      </c>
      <c r="C249" s="16"/>
      <c r="D249" s="16"/>
      <c r="E249" s="16"/>
      <c r="F249" s="17"/>
      <c r="G249" s="17"/>
      <c r="H249" s="18"/>
      <c r="I249" s="16"/>
      <c r="J249" s="19"/>
      <c r="K249" s="16"/>
      <c r="L249" s="15" t="str">
        <f>IFERROR(IF(A249="","",INT(A249)&amp;"-"&amp;COUNTIF($A$2:A249,A249)),"")</f>
        <v/>
      </c>
    </row>
    <row r="250" spans="1:12" x14ac:dyDescent="0.3">
      <c r="A250" s="14"/>
      <c r="B250" s="15" t="str">
        <f t="shared" si="3"/>
        <v/>
      </c>
      <c r="C250" s="16"/>
      <c r="D250" s="16"/>
      <c r="E250" s="16"/>
      <c r="F250" s="17"/>
      <c r="G250" s="17"/>
      <c r="H250" s="18"/>
      <c r="I250" s="16"/>
      <c r="J250" s="19"/>
      <c r="K250" s="16"/>
      <c r="L250" s="15" t="str">
        <f>IFERROR(IF(A250="","",INT(A250)&amp;"-"&amp;COUNTIF($A$2:A250,A250)),"")</f>
        <v/>
      </c>
    </row>
    <row r="251" spans="1:12" x14ac:dyDescent="0.3">
      <c r="A251" s="14"/>
      <c r="B251" s="15" t="str">
        <f t="shared" si="3"/>
        <v/>
      </c>
      <c r="C251" s="16"/>
      <c r="D251" s="16"/>
      <c r="E251" s="16"/>
      <c r="F251" s="17"/>
      <c r="G251" s="17"/>
      <c r="H251" s="18"/>
      <c r="I251" s="16"/>
      <c r="J251" s="19"/>
      <c r="K251" s="16"/>
      <c r="L251" s="15" t="str">
        <f>IFERROR(IF(A251="","",INT(A251)&amp;"-"&amp;COUNTIF($A$2:A251,A251)),"")</f>
        <v/>
      </c>
    </row>
    <row r="252" spans="1:12" x14ac:dyDescent="0.3">
      <c r="A252" s="14"/>
      <c r="B252" s="15" t="str">
        <f t="shared" si="3"/>
        <v/>
      </c>
      <c r="C252" s="16"/>
      <c r="D252" s="16"/>
      <c r="E252" s="16"/>
      <c r="F252" s="17"/>
      <c r="G252" s="17"/>
      <c r="H252" s="18"/>
      <c r="I252" s="16"/>
      <c r="J252" s="19"/>
      <c r="K252" s="16"/>
      <c r="L252" s="15" t="str">
        <f>IFERROR(IF(A252="","",INT(A252)&amp;"-"&amp;COUNTIF($A$2:A252,A252)),"")</f>
        <v/>
      </c>
    </row>
    <row r="253" spans="1:12" x14ac:dyDescent="0.3">
      <c r="A253" s="14"/>
      <c r="B253" s="15" t="str">
        <f t="shared" si="3"/>
        <v/>
      </c>
      <c r="C253" s="16"/>
      <c r="D253" s="16"/>
      <c r="E253" s="16"/>
      <c r="F253" s="17"/>
      <c r="G253" s="17"/>
      <c r="H253" s="18"/>
      <c r="I253" s="16"/>
      <c r="J253" s="19"/>
      <c r="K253" s="16"/>
      <c r="L253" s="15" t="str">
        <f>IFERROR(IF(A253="","",INT(A253)&amp;"-"&amp;COUNTIF($A$2:A253,A253)),"")</f>
        <v/>
      </c>
    </row>
    <row r="254" spans="1:12" x14ac:dyDescent="0.3">
      <c r="A254" s="14"/>
      <c r="B254" s="15" t="str">
        <f t="shared" si="3"/>
        <v/>
      </c>
      <c r="C254" s="16"/>
      <c r="D254" s="16"/>
      <c r="E254" s="16"/>
      <c r="F254" s="17"/>
      <c r="G254" s="17"/>
      <c r="H254" s="18"/>
      <c r="I254" s="16"/>
      <c r="J254" s="19"/>
      <c r="K254" s="16"/>
      <c r="L254" s="15" t="str">
        <f>IFERROR(IF(A254="","",INT(A254)&amp;"-"&amp;COUNTIF($A$2:A254,A254)),"")</f>
        <v/>
      </c>
    </row>
    <row r="255" spans="1:12" x14ac:dyDescent="0.3">
      <c r="A255" s="14"/>
      <c r="B255" s="15" t="str">
        <f t="shared" si="3"/>
        <v/>
      </c>
      <c r="C255" s="16"/>
      <c r="D255" s="16"/>
      <c r="E255" s="16"/>
      <c r="F255" s="17"/>
      <c r="G255" s="17"/>
      <c r="H255" s="18"/>
      <c r="I255" s="16"/>
      <c r="J255" s="19"/>
      <c r="K255" s="16"/>
      <c r="L255" s="15" t="str">
        <f>IFERROR(IF(A255="","",INT(A255)&amp;"-"&amp;COUNTIF($A$2:A255,A255)),"")</f>
        <v/>
      </c>
    </row>
    <row r="256" spans="1:12" x14ac:dyDescent="0.3">
      <c r="A256" s="14"/>
      <c r="B256" s="15" t="str">
        <f t="shared" si="3"/>
        <v/>
      </c>
      <c r="C256" s="16"/>
      <c r="D256" s="16"/>
      <c r="E256" s="16"/>
      <c r="F256" s="17"/>
      <c r="G256" s="17"/>
      <c r="H256" s="18"/>
      <c r="I256" s="16"/>
      <c r="J256" s="19"/>
      <c r="K256" s="16"/>
      <c r="L256" s="15" t="str">
        <f>IFERROR(IF(A256="","",INT(A256)&amp;"-"&amp;COUNTIF($A$2:A256,A256)),"")</f>
        <v/>
      </c>
    </row>
    <row r="257" spans="1:12" x14ac:dyDescent="0.3">
      <c r="A257" s="14"/>
      <c r="B257" s="15" t="str">
        <f t="shared" ref="B257:B283" si="4">IFERROR(IF(A257="","",CHOOSE(WEEKDAY(A257,2),"Segunda","Terça","Quarta","Quinta","Sexta","Sábado","Domingo")),"")</f>
        <v/>
      </c>
      <c r="C257" s="16"/>
      <c r="D257" s="16"/>
      <c r="E257" s="16"/>
      <c r="F257" s="17"/>
      <c r="G257" s="17"/>
      <c r="H257" s="18"/>
      <c r="I257" s="16"/>
      <c r="J257" s="19"/>
      <c r="K257" s="16"/>
      <c r="L257" s="15" t="str">
        <f>IFERROR(IF(A257="","",INT(A257)&amp;"-"&amp;COUNTIF($A$2:A257,A257)),"")</f>
        <v/>
      </c>
    </row>
    <row r="258" spans="1:12" x14ac:dyDescent="0.3">
      <c r="A258" s="14"/>
      <c r="B258" s="15" t="str">
        <f t="shared" si="4"/>
        <v/>
      </c>
      <c r="C258" s="16"/>
      <c r="D258" s="16"/>
      <c r="E258" s="16"/>
      <c r="F258" s="17"/>
      <c r="G258" s="17"/>
      <c r="H258" s="18"/>
      <c r="I258" s="16"/>
      <c r="J258" s="19"/>
      <c r="K258" s="16"/>
      <c r="L258" s="15" t="str">
        <f>IFERROR(IF(A258="","",INT(A258)&amp;"-"&amp;COUNTIF($A$2:A258,A258)),"")</f>
        <v/>
      </c>
    </row>
    <row r="259" spans="1:12" x14ac:dyDescent="0.3">
      <c r="A259" s="14"/>
      <c r="B259" s="15" t="str">
        <f t="shared" si="4"/>
        <v/>
      </c>
      <c r="C259" s="16"/>
      <c r="D259" s="16"/>
      <c r="E259" s="16"/>
      <c r="F259" s="17"/>
      <c r="G259" s="17"/>
      <c r="H259" s="18"/>
      <c r="I259" s="16"/>
      <c r="J259" s="19"/>
      <c r="K259" s="16"/>
      <c r="L259" s="15" t="str">
        <f>IFERROR(IF(A259="","",INT(A259)&amp;"-"&amp;COUNTIF($A$2:A259,A259)),"")</f>
        <v/>
      </c>
    </row>
    <row r="260" spans="1:12" x14ac:dyDescent="0.3">
      <c r="A260" s="14"/>
      <c r="B260" s="15" t="str">
        <f t="shared" si="4"/>
        <v/>
      </c>
      <c r="C260" s="16"/>
      <c r="D260" s="16"/>
      <c r="E260" s="16"/>
      <c r="F260" s="17"/>
      <c r="G260" s="17"/>
      <c r="H260" s="18"/>
      <c r="I260" s="16"/>
      <c r="J260" s="19"/>
      <c r="K260" s="16"/>
      <c r="L260" s="15" t="str">
        <f>IFERROR(IF(A260="","",INT(A260)&amp;"-"&amp;COUNTIF($A$2:A260,A260)),"")</f>
        <v/>
      </c>
    </row>
    <row r="261" spans="1:12" x14ac:dyDescent="0.3">
      <c r="A261" s="14"/>
      <c r="B261" s="15" t="str">
        <f t="shared" si="4"/>
        <v/>
      </c>
      <c r="C261" s="16"/>
      <c r="D261" s="16"/>
      <c r="E261" s="16"/>
      <c r="F261" s="17"/>
      <c r="G261" s="17"/>
      <c r="H261" s="18"/>
      <c r="I261" s="16"/>
      <c r="J261" s="19"/>
      <c r="K261" s="16"/>
      <c r="L261" s="15" t="str">
        <f>IFERROR(IF(A261="","",INT(A261)&amp;"-"&amp;COUNTIF($A$2:A261,A261)),"")</f>
        <v/>
      </c>
    </row>
    <row r="262" spans="1:12" x14ac:dyDescent="0.3">
      <c r="A262" s="14"/>
      <c r="B262" s="15" t="str">
        <f t="shared" si="4"/>
        <v/>
      </c>
      <c r="C262" s="16"/>
      <c r="D262" s="16"/>
      <c r="E262" s="16"/>
      <c r="F262" s="17"/>
      <c r="G262" s="17"/>
      <c r="H262" s="18"/>
      <c r="I262" s="16"/>
      <c r="J262" s="19"/>
      <c r="K262" s="16"/>
      <c r="L262" s="15" t="str">
        <f>IFERROR(IF(A262="","",INT(A262)&amp;"-"&amp;COUNTIF($A$2:A262,A262)),"")</f>
        <v/>
      </c>
    </row>
    <row r="263" spans="1:12" x14ac:dyDescent="0.3">
      <c r="A263" s="14"/>
      <c r="B263" s="15" t="str">
        <f t="shared" si="4"/>
        <v/>
      </c>
      <c r="C263" s="16"/>
      <c r="D263" s="16"/>
      <c r="E263" s="16"/>
      <c r="F263" s="17"/>
      <c r="G263" s="17"/>
      <c r="H263" s="18"/>
      <c r="I263" s="16"/>
      <c r="J263" s="19"/>
      <c r="K263" s="16"/>
      <c r="L263" s="15" t="str">
        <f>IFERROR(IF(A263="","",INT(A263)&amp;"-"&amp;COUNTIF($A$2:A263,A263)),"")</f>
        <v/>
      </c>
    </row>
    <row r="264" spans="1:12" x14ac:dyDescent="0.3">
      <c r="A264" s="14"/>
      <c r="B264" s="15" t="str">
        <f t="shared" si="4"/>
        <v/>
      </c>
      <c r="C264" s="16"/>
      <c r="D264" s="16"/>
      <c r="E264" s="16"/>
      <c r="F264" s="17"/>
      <c r="G264" s="17"/>
      <c r="H264" s="18"/>
      <c r="I264" s="16"/>
      <c r="J264" s="19"/>
      <c r="K264" s="16"/>
      <c r="L264" s="15" t="str">
        <f>IFERROR(IF(A264="","",INT(A264)&amp;"-"&amp;COUNTIF($A$2:A264,A264)),"")</f>
        <v/>
      </c>
    </row>
    <row r="265" spans="1:12" x14ac:dyDescent="0.3">
      <c r="A265" s="14"/>
      <c r="B265" s="15" t="str">
        <f t="shared" si="4"/>
        <v/>
      </c>
      <c r="C265" s="16"/>
      <c r="D265" s="16"/>
      <c r="E265" s="16"/>
      <c r="F265" s="17"/>
      <c r="G265" s="17"/>
      <c r="H265" s="18"/>
      <c r="I265" s="16"/>
      <c r="J265" s="19"/>
      <c r="K265" s="16"/>
      <c r="L265" s="15" t="str">
        <f>IFERROR(IF(A265="","",INT(A265)&amp;"-"&amp;COUNTIF($A$2:A265,A265)),"")</f>
        <v/>
      </c>
    </row>
    <row r="266" spans="1:12" x14ac:dyDescent="0.3">
      <c r="A266" s="14"/>
      <c r="B266" s="15" t="str">
        <f t="shared" si="4"/>
        <v/>
      </c>
      <c r="C266" s="16"/>
      <c r="D266" s="16"/>
      <c r="E266" s="16"/>
      <c r="F266" s="17"/>
      <c r="G266" s="17"/>
      <c r="H266" s="18"/>
      <c r="I266" s="16"/>
      <c r="J266" s="19"/>
      <c r="K266" s="16"/>
      <c r="L266" s="15" t="str">
        <f>IFERROR(IF(A266="","",INT(A266)&amp;"-"&amp;COUNTIF($A$2:A266,A266)),"")</f>
        <v/>
      </c>
    </row>
    <row r="267" spans="1:12" x14ac:dyDescent="0.3">
      <c r="A267" s="14"/>
      <c r="B267" s="15" t="str">
        <f t="shared" si="4"/>
        <v/>
      </c>
      <c r="C267" s="16"/>
      <c r="D267" s="16"/>
      <c r="E267" s="16"/>
      <c r="F267" s="17"/>
      <c r="G267" s="17"/>
      <c r="H267" s="18"/>
      <c r="I267" s="16"/>
      <c r="J267" s="19"/>
      <c r="K267" s="16"/>
      <c r="L267" s="15" t="str">
        <f>IFERROR(IF(A267="","",INT(A267)&amp;"-"&amp;COUNTIF($A$2:A267,A267)),"")</f>
        <v/>
      </c>
    </row>
    <row r="268" spans="1:12" x14ac:dyDescent="0.3">
      <c r="A268" s="14"/>
      <c r="B268" s="15" t="str">
        <f t="shared" si="4"/>
        <v/>
      </c>
      <c r="C268" s="16"/>
      <c r="D268" s="16"/>
      <c r="E268" s="16"/>
      <c r="F268" s="17"/>
      <c r="G268" s="17"/>
      <c r="H268" s="18"/>
      <c r="I268" s="16"/>
      <c r="J268" s="19"/>
      <c r="K268" s="16"/>
      <c r="L268" s="15" t="str">
        <f>IFERROR(IF(A268="","",INT(A268)&amp;"-"&amp;COUNTIF($A$2:A268,A268)),"")</f>
        <v/>
      </c>
    </row>
    <row r="269" spans="1:12" x14ac:dyDescent="0.3">
      <c r="A269" s="14"/>
      <c r="B269" s="15" t="str">
        <f t="shared" si="4"/>
        <v/>
      </c>
      <c r="C269" s="16"/>
      <c r="D269" s="16"/>
      <c r="E269" s="16"/>
      <c r="F269" s="17"/>
      <c r="G269" s="17"/>
      <c r="H269" s="18"/>
      <c r="I269" s="16"/>
      <c r="J269" s="19"/>
      <c r="K269" s="16"/>
      <c r="L269" s="15" t="str">
        <f>IFERROR(IF(A269="","",INT(A269)&amp;"-"&amp;COUNTIF($A$2:A269,A269)),"")</f>
        <v/>
      </c>
    </row>
    <row r="270" spans="1:12" x14ac:dyDescent="0.3">
      <c r="A270" s="14"/>
      <c r="B270" s="15" t="str">
        <f t="shared" si="4"/>
        <v/>
      </c>
      <c r="C270" s="16"/>
      <c r="D270" s="16"/>
      <c r="E270" s="16"/>
      <c r="F270" s="17"/>
      <c r="G270" s="17"/>
      <c r="H270" s="18"/>
      <c r="I270" s="16"/>
      <c r="J270" s="19"/>
      <c r="K270" s="16"/>
      <c r="L270" s="15" t="str">
        <f>IFERROR(IF(A270="","",INT(A270)&amp;"-"&amp;COUNTIF($A$2:A270,A270)),"")</f>
        <v/>
      </c>
    </row>
    <row r="271" spans="1:12" x14ac:dyDescent="0.3">
      <c r="A271" s="14"/>
      <c r="B271" s="15" t="str">
        <f t="shared" si="4"/>
        <v/>
      </c>
      <c r="C271" s="16"/>
      <c r="D271" s="16"/>
      <c r="E271" s="16"/>
      <c r="F271" s="17"/>
      <c r="G271" s="17"/>
      <c r="H271" s="18"/>
      <c r="I271" s="16"/>
      <c r="J271" s="19"/>
      <c r="K271" s="16"/>
      <c r="L271" s="15" t="str">
        <f>IFERROR(IF(A271="","",INT(A271)&amp;"-"&amp;COUNTIF($A$2:A271,A271)),"")</f>
        <v/>
      </c>
    </row>
    <row r="272" spans="1:12" x14ac:dyDescent="0.3">
      <c r="A272" s="14"/>
      <c r="B272" s="15" t="str">
        <f t="shared" si="4"/>
        <v/>
      </c>
      <c r="C272" s="16"/>
      <c r="D272" s="16"/>
      <c r="E272" s="16"/>
      <c r="F272" s="17"/>
      <c r="G272" s="17"/>
      <c r="H272" s="18"/>
      <c r="I272" s="16"/>
      <c r="J272" s="19"/>
      <c r="K272" s="16"/>
      <c r="L272" s="15" t="str">
        <f>IFERROR(IF(A272="","",INT(A272)&amp;"-"&amp;COUNTIF($A$2:A272,A272)),"")</f>
        <v/>
      </c>
    </row>
    <row r="273" spans="1:12" x14ac:dyDescent="0.3">
      <c r="A273" s="14"/>
      <c r="B273" s="15" t="str">
        <f t="shared" si="4"/>
        <v/>
      </c>
      <c r="C273" s="16"/>
      <c r="D273" s="16"/>
      <c r="E273" s="16"/>
      <c r="F273" s="17"/>
      <c r="G273" s="17"/>
      <c r="H273" s="18"/>
      <c r="I273" s="16"/>
      <c r="J273" s="19"/>
      <c r="K273" s="16"/>
      <c r="L273" s="15" t="str">
        <f>IFERROR(IF(A273="","",INT(A273)&amp;"-"&amp;COUNTIF($A$2:A273,A273)),"")</f>
        <v/>
      </c>
    </row>
    <row r="274" spans="1:12" x14ac:dyDescent="0.3">
      <c r="A274" s="14"/>
      <c r="B274" s="15" t="str">
        <f t="shared" si="4"/>
        <v/>
      </c>
      <c r="C274" s="16"/>
      <c r="D274" s="16"/>
      <c r="E274" s="16"/>
      <c r="F274" s="17"/>
      <c r="G274" s="17"/>
      <c r="H274" s="18"/>
      <c r="I274" s="16"/>
      <c r="J274" s="19"/>
      <c r="K274" s="16"/>
      <c r="L274" s="15" t="str">
        <f>IFERROR(IF(A274="","",INT(A274)&amp;"-"&amp;COUNTIF($A$2:A274,A274)),"")</f>
        <v/>
      </c>
    </row>
    <row r="275" spans="1:12" x14ac:dyDescent="0.3">
      <c r="A275" s="14"/>
      <c r="B275" s="15" t="str">
        <f t="shared" si="4"/>
        <v/>
      </c>
      <c r="C275" s="16"/>
      <c r="D275" s="16"/>
      <c r="E275" s="16"/>
      <c r="F275" s="17"/>
      <c r="G275" s="17"/>
      <c r="H275" s="18"/>
      <c r="I275" s="16"/>
      <c r="J275" s="19"/>
      <c r="K275" s="16"/>
      <c r="L275" s="15" t="str">
        <f>IFERROR(IF(A275="","",INT(A275)&amp;"-"&amp;COUNTIF($A$2:A275,A275)),"")</f>
        <v/>
      </c>
    </row>
    <row r="276" spans="1:12" x14ac:dyDescent="0.3">
      <c r="A276" s="14"/>
      <c r="B276" s="15" t="str">
        <f t="shared" si="4"/>
        <v/>
      </c>
      <c r="C276" s="16"/>
      <c r="D276" s="16"/>
      <c r="E276" s="16"/>
      <c r="F276" s="17"/>
      <c r="G276" s="17"/>
      <c r="H276" s="18"/>
      <c r="I276" s="16"/>
      <c r="J276" s="19"/>
      <c r="K276" s="16"/>
      <c r="L276" s="15" t="str">
        <f>IFERROR(IF(A276="","",INT(A276)&amp;"-"&amp;COUNTIF($A$2:A276,A276)),"")</f>
        <v/>
      </c>
    </row>
    <row r="277" spans="1:12" x14ac:dyDescent="0.3">
      <c r="A277" s="14"/>
      <c r="B277" s="15" t="str">
        <f t="shared" si="4"/>
        <v/>
      </c>
      <c r="C277" s="16"/>
      <c r="D277" s="16"/>
      <c r="E277" s="16"/>
      <c r="F277" s="17"/>
      <c r="G277" s="17"/>
      <c r="H277" s="18"/>
      <c r="I277" s="16"/>
      <c r="J277" s="19"/>
      <c r="K277" s="16"/>
      <c r="L277" s="15" t="str">
        <f>IFERROR(IF(A277="","",INT(A277)&amp;"-"&amp;COUNTIF($A$2:A277,A277)),"")</f>
        <v/>
      </c>
    </row>
    <row r="278" spans="1:12" x14ac:dyDescent="0.3">
      <c r="A278" s="14"/>
      <c r="B278" s="15" t="str">
        <f t="shared" si="4"/>
        <v/>
      </c>
      <c r="C278" s="16"/>
      <c r="D278" s="16"/>
      <c r="E278" s="16"/>
      <c r="F278" s="17"/>
      <c r="G278" s="17"/>
      <c r="H278" s="18"/>
      <c r="I278" s="16"/>
      <c r="J278" s="19"/>
      <c r="K278" s="16"/>
      <c r="L278" s="15" t="str">
        <f>IFERROR(IF(A278="","",INT(A278)&amp;"-"&amp;COUNTIF($A$2:A278,A278)),"")</f>
        <v/>
      </c>
    </row>
    <row r="279" spans="1:12" x14ac:dyDescent="0.3">
      <c r="A279" s="14"/>
      <c r="B279" s="15" t="str">
        <f t="shared" si="4"/>
        <v/>
      </c>
      <c r="C279" s="16"/>
      <c r="D279" s="16"/>
      <c r="E279" s="16"/>
      <c r="F279" s="17"/>
      <c r="G279" s="17"/>
      <c r="H279" s="18"/>
      <c r="I279" s="16"/>
      <c r="J279" s="19"/>
      <c r="K279" s="16"/>
      <c r="L279" s="15" t="str">
        <f>IFERROR(IF(A279="","",INT(A279)&amp;"-"&amp;COUNTIF($A$2:A279,A279)),"")</f>
        <v/>
      </c>
    </row>
    <row r="280" spans="1:12" x14ac:dyDescent="0.3">
      <c r="A280" s="14"/>
      <c r="B280" s="15" t="str">
        <f t="shared" si="4"/>
        <v/>
      </c>
      <c r="C280" s="16"/>
      <c r="D280" s="16"/>
      <c r="E280" s="16"/>
      <c r="F280" s="17"/>
      <c r="G280" s="17"/>
      <c r="H280" s="18"/>
      <c r="I280" s="16"/>
      <c r="J280" s="19"/>
      <c r="K280" s="16"/>
      <c r="L280" s="15" t="str">
        <f>IFERROR(IF(A280="","",INT(A280)&amp;"-"&amp;COUNTIF($A$2:A280,A280)),"")</f>
        <v/>
      </c>
    </row>
    <row r="281" spans="1:12" x14ac:dyDescent="0.3">
      <c r="A281" s="14"/>
      <c r="B281" s="15" t="str">
        <f t="shared" si="4"/>
        <v/>
      </c>
      <c r="C281" s="16"/>
      <c r="D281" s="16"/>
      <c r="E281" s="16"/>
      <c r="F281" s="17"/>
      <c r="G281" s="17"/>
      <c r="H281" s="18"/>
      <c r="I281" s="16"/>
      <c r="J281" s="19"/>
      <c r="K281" s="16"/>
      <c r="L281" s="15" t="str">
        <f>IFERROR(IF(A281="","",INT(A281)&amp;"-"&amp;COUNTIF($A$2:A281,A281)),"")</f>
        <v/>
      </c>
    </row>
    <row r="282" spans="1:12" x14ac:dyDescent="0.3">
      <c r="A282" s="14"/>
      <c r="B282" s="15" t="str">
        <f t="shared" si="4"/>
        <v/>
      </c>
      <c r="C282" s="16"/>
      <c r="D282" s="16"/>
      <c r="E282" s="16"/>
      <c r="F282" s="17"/>
      <c r="G282" s="17"/>
      <c r="H282" s="18"/>
      <c r="I282" s="16"/>
      <c r="J282" s="19"/>
      <c r="K282" s="16"/>
      <c r="L282" s="15" t="str">
        <f>IFERROR(IF(A282="","",INT(A282)&amp;"-"&amp;COUNTIF($A$2:A282,A282)),"")</f>
        <v/>
      </c>
    </row>
    <row r="283" spans="1:12" x14ac:dyDescent="0.3">
      <c r="A283" s="14"/>
      <c r="B283" s="15" t="str">
        <f t="shared" si="4"/>
        <v/>
      </c>
      <c r="C283" s="16"/>
      <c r="D283" s="16"/>
      <c r="E283" s="16"/>
      <c r="F283" s="17"/>
      <c r="G283" s="17"/>
      <c r="H283" s="18"/>
      <c r="I283" s="16"/>
      <c r="J283" s="19"/>
      <c r="K283" s="16"/>
      <c r="L283" s="15" t="str">
        <f>IFERROR(IF(A283="","",INT(A283)&amp;"-"&amp;COUNTIF($A$2:A283,A283)),"")</f>
        <v/>
      </c>
    </row>
    <row r="284" spans="1:12" x14ac:dyDescent="0.3">
      <c r="A284" s="14"/>
      <c r="B284" s="15" t="str">
        <f t="shared" ref="B284:B299" si="5">IFERROR(IF(A284="","",CHOOSE(WEEKDAY(A284,2),"Segunda","Terça","Quarta","Quinta","Sexta","Sábado","Domingo")),"")</f>
        <v/>
      </c>
      <c r="C284" s="16"/>
      <c r="D284" s="16"/>
      <c r="E284" s="16"/>
      <c r="F284" s="17"/>
      <c r="G284" s="17"/>
      <c r="H284" s="18"/>
      <c r="I284" s="16"/>
      <c r="J284" s="19"/>
      <c r="K284" s="16"/>
      <c r="L284" s="15" t="str">
        <f>IFERROR(IF(A284="","",INT(A284)&amp;"-"&amp;COUNTIF($A$2:A284,A284)),"")</f>
        <v/>
      </c>
    </row>
    <row r="285" spans="1:12" x14ac:dyDescent="0.3">
      <c r="A285" s="14"/>
      <c r="B285" s="15" t="str">
        <f t="shared" si="5"/>
        <v/>
      </c>
      <c r="C285" s="16"/>
      <c r="D285" s="16"/>
      <c r="E285" s="16"/>
      <c r="F285" s="17"/>
      <c r="G285" s="17"/>
      <c r="H285" s="18"/>
      <c r="I285" s="16"/>
      <c r="J285" s="19"/>
      <c r="K285" s="16"/>
      <c r="L285" s="15" t="str">
        <f>IFERROR(IF(A285="","",INT(A285)&amp;"-"&amp;COUNTIF($A$2:A285,A285)),"")</f>
        <v/>
      </c>
    </row>
    <row r="286" spans="1:12" x14ac:dyDescent="0.3">
      <c r="A286" s="14"/>
      <c r="B286" s="15" t="str">
        <f t="shared" si="5"/>
        <v/>
      </c>
      <c r="C286" s="16"/>
      <c r="D286" s="16"/>
      <c r="E286" s="16"/>
      <c r="F286" s="17"/>
      <c r="G286" s="17"/>
      <c r="H286" s="18"/>
      <c r="I286" s="16"/>
      <c r="J286" s="19"/>
      <c r="K286" s="16"/>
      <c r="L286" s="15" t="str">
        <f>IFERROR(IF(A286="","",INT(A286)&amp;"-"&amp;COUNTIF($A$2:A286,A286)),"")</f>
        <v/>
      </c>
    </row>
    <row r="287" spans="1:12" x14ac:dyDescent="0.3">
      <c r="A287" s="14"/>
      <c r="B287" s="15" t="str">
        <f t="shared" si="5"/>
        <v/>
      </c>
      <c r="C287" s="16"/>
      <c r="D287" s="16"/>
      <c r="E287" s="16"/>
      <c r="F287" s="17"/>
      <c r="G287" s="17"/>
      <c r="H287" s="18"/>
      <c r="I287" s="16"/>
      <c r="J287" s="19"/>
      <c r="K287" s="16"/>
      <c r="L287" s="15" t="str">
        <f>IFERROR(IF(A287="","",INT(A287)&amp;"-"&amp;COUNTIF($A$2:A287,A287)),"")</f>
        <v/>
      </c>
    </row>
    <row r="288" spans="1:12" x14ac:dyDescent="0.3">
      <c r="A288" s="14"/>
      <c r="B288" s="15" t="str">
        <f t="shared" si="5"/>
        <v/>
      </c>
      <c r="C288" s="16"/>
      <c r="D288" s="16"/>
      <c r="E288" s="16"/>
      <c r="F288" s="17"/>
      <c r="G288" s="17"/>
      <c r="H288" s="18"/>
      <c r="I288" s="16"/>
      <c r="J288" s="19"/>
      <c r="K288" s="16"/>
      <c r="L288" s="15" t="str">
        <f>IFERROR(IF(A288="","",INT(A288)&amp;"-"&amp;COUNTIF($A$2:A288,A288)),"")</f>
        <v/>
      </c>
    </row>
    <row r="289" spans="1:12" x14ac:dyDescent="0.3">
      <c r="A289" s="14"/>
      <c r="B289" s="15" t="str">
        <f t="shared" si="5"/>
        <v/>
      </c>
      <c r="C289" s="16"/>
      <c r="D289" s="16"/>
      <c r="E289" s="16"/>
      <c r="F289" s="17"/>
      <c r="G289" s="17"/>
      <c r="H289" s="18"/>
      <c r="I289" s="16"/>
      <c r="J289" s="19"/>
      <c r="K289" s="16"/>
      <c r="L289" s="15" t="str">
        <f>IFERROR(IF(A289="","",INT(A289)&amp;"-"&amp;COUNTIF($A$2:A289,A289)),"")</f>
        <v/>
      </c>
    </row>
    <row r="290" spans="1:12" x14ac:dyDescent="0.3">
      <c r="A290" s="14"/>
      <c r="B290" s="15" t="str">
        <f t="shared" si="5"/>
        <v/>
      </c>
      <c r="C290" s="16"/>
      <c r="D290" s="16"/>
      <c r="E290" s="16"/>
      <c r="F290" s="17"/>
      <c r="G290" s="17"/>
      <c r="H290" s="18"/>
      <c r="I290" s="16"/>
      <c r="J290" s="19"/>
      <c r="K290" s="16"/>
      <c r="L290" s="15" t="str">
        <f>IFERROR(IF(A290="","",INT(A290)&amp;"-"&amp;COUNTIF($A$2:A290,A290)),"")</f>
        <v/>
      </c>
    </row>
    <row r="291" spans="1:12" x14ac:dyDescent="0.3">
      <c r="A291" s="14"/>
      <c r="B291" s="15" t="str">
        <f t="shared" si="5"/>
        <v/>
      </c>
      <c r="C291" s="16"/>
      <c r="D291" s="16"/>
      <c r="E291" s="16"/>
      <c r="F291" s="17"/>
      <c r="G291" s="17"/>
      <c r="H291" s="18"/>
      <c r="I291" s="16"/>
      <c r="J291" s="19"/>
      <c r="K291" s="16"/>
      <c r="L291" s="15" t="str">
        <f>IFERROR(IF(A291="","",INT(A291)&amp;"-"&amp;COUNTIF($A$2:A291,A291)),"")</f>
        <v/>
      </c>
    </row>
    <row r="292" spans="1:12" x14ac:dyDescent="0.3">
      <c r="A292" s="14"/>
      <c r="B292" s="15" t="str">
        <f t="shared" si="5"/>
        <v/>
      </c>
      <c r="C292" s="16"/>
      <c r="D292" s="16"/>
      <c r="E292" s="16"/>
      <c r="F292" s="17"/>
      <c r="G292" s="17"/>
      <c r="H292" s="18"/>
      <c r="I292" s="16"/>
      <c r="J292" s="19"/>
      <c r="K292" s="16"/>
      <c r="L292" s="15" t="str">
        <f>IFERROR(IF(A292="","",INT(A292)&amp;"-"&amp;COUNTIF($A$2:A292,A292)),"")</f>
        <v/>
      </c>
    </row>
    <row r="293" spans="1:12" x14ac:dyDescent="0.3">
      <c r="A293" s="14"/>
      <c r="B293" s="15" t="str">
        <f t="shared" si="5"/>
        <v/>
      </c>
      <c r="C293" s="16"/>
      <c r="D293" s="16"/>
      <c r="E293" s="16"/>
      <c r="F293" s="17"/>
      <c r="G293" s="17"/>
      <c r="H293" s="18"/>
      <c r="I293" s="16"/>
      <c r="J293" s="19"/>
      <c r="K293" s="16"/>
      <c r="L293" s="15" t="str">
        <f>IFERROR(IF(A293="","",INT(A293)&amp;"-"&amp;COUNTIF($A$2:A293,A293)),"")</f>
        <v/>
      </c>
    </row>
    <row r="294" spans="1:12" x14ac:dyDescent="0.3">
      <c r="A294" s="14"/>
      <c r="B294" s="15" t="str">
        <f t="shared" si="5"/>
        <v/>
      </c>
      <c r="C294" s="16"/>
      <c r="D294" s="16"/>
      <c r="E294" s="16"/>
      <c r="F294" s="17"/>
      <c r="G294" s="17"/>
      <c r="H294" s="18"/>
      <c r="I294" s="16"/>
      <c r="J294" s="19"/>
      <c r="K294" s="16"/>
      <c r="L294" s="15" t="str">
        <f>IFERROR(IF(A294="","",INT(A294)&amp;"-"&amp;COUNTIF($A$2:A294,A294)),"")</f>
        <v/>
      </c>
    </row>
    <row r="295" spans="1:12" x14ac:dyDescent="0.3">
      <c r="A295" s="14"/>
      <c r="B295" s="15" t="str">
        <f t="shared" si="5"/>
        <v/>
      </c>
      <c r="C295" s="16"/>
      <c r="D295" s="16"/>
      <c r="E295" s="16"/>
      <c r="F295" s="17"/>
      <c r="G295" s="17"/>
      <c r="H295" s="18"/>
      <c r="I295" s="16"/>
      <c r="J295" s="19"/>
      <c r="K295" s="16"/>
      <c r="L295" s="15" t="str">
        <f>IFERROR(IF(A295="","",INT(A295)&amp;"-"&amp;COUNTIF($A$2:A295,A295)),"")</f>
        <v/>
      </c>
    </row>
    <row r="296" spans="1:12" x14ac:dyDescent="0.3">
      <c r="A296" s="14"/>
      <c r="B296" s="15" t="str">
        <f t="shared" si="5"/>
        <v/>
      </c>
      <c r="C296" s="16"/>
      <c r="D296" s="16"/>
      <c r="E296" s="16"/>
      <c r="F296" s="17"/>
      <c r="G296" s="17"/>
      <c r="H296" s="18"/>
      <c r="I296" s="16"/>
      <c r="J296" s="19"/>
      <c r="K296" s="16"/>
      <c r="L296" s="15" t="str">
        <f>IFERROR(IF(A296="","",INT(A296)&amp;"-"&amp;COUNTIF($A$2:A296,A296)),"")</f>
        <v/>
      </c>
    </row>
    <row r="297" spans="1:12" x14ac:dyDescent="0.3">
      <c r="A297" s="14"/>
      <c r="B297" s="15" t="str">
        <f t="shared" si="5"/>
        <v/>
      </c>
      <c r="C297" s="16"/>
      <c r="D297" s="16"/>
      <c r="E297" s="16"/>
      <c r="F297" s="17"/>
      <c r="G297" s="17"/>
      <c r="H297" s="18"/>
      <c r="I297" s="16"/>
      <c r="J297" s="19"/>
      <c r="K297" s="16"/>
      <c r="L297" s="15" t="str">
        <f>IFERROR(IF(A297="","",INT(A297)&amp;"-"&amp;COUNTIF($A$2:A297,A297)),"")</f>
        <v/>
      </c>
    </row>
    <row r="298" spans="1:12" x14ac:dyDescent="0.3">
      <c r="A298" s="14"/>
      <c r="B298" s="15" t="str">
        <f t="shared" si="5"/>
        <v/>
      </c>
      <c r="C298" s="16"/>
      <c r="D298" s="16"/>
      <c r="E298" s="16"/>
      <c r="F298" s="17"/>
      <c r="G298" s="17"/>
      <c r="H298" s="18"/>
      <c r="I298" s="16"/>
      <c r="J298" s="19"/>
      <c r="K298" s="16"/>
      <c r="L298" s="15" t="str">
        <f>IFERROR(IF(A298="","",INT(A298)&amp;"-"&amp;COUNTIF($A$2:A298,A298)),"")</f>
        <v/>
      </c>
    </row>
    <row r="299" spans="1:12" x14ac:dyDescent="0.3">
      <c r="A299" s="14"/>
      <c r="B299" s="15" t="str">
        <f t="shared" si="5"/>
        <v/>
      </c>
      <c r="C299" s="16"/>
      <c r="D299" s="16"/>
      <c r="E299" s="16"/>
      <c r="F299" s="17"/>
      <c r="G299" s="17"/>
      <c r="H299" s="18"/>
      <c r="I299" s="16"/>
      <c r="J299" s="19"/>
      <c r="K299" s="16"/>
      <c r="L299" s="15" t="str">
        <f>IFERROR(IF(A299="","",INT(A299)&amp;"-"&amp;COUNTIF($A$2:A299,A299)),"")</f>
        <v/>
      </c>
    </row>
  </sheetData>
  <autoFilter ref="A1:L299" xr:uid="{00000000-0009-0000-0000-000001000000}"/>
  <conditionalFormatting sqref="A2:L299">
    <cfRule type="expression" dxfId="3" priority="5">
      <formula>AND($A2&lt;&gt;"",$A2&lt;TODAY())</formula>
    </cfRule>
  </conditionalFormatting>
  <conditionalFormatting sqref="H2:H299">
    <cfRule type="cellIs" dxfId="2" priority="2" operator="equal">
      <formula>"Confirmado"</formula>
    </cfRule>
    <cfRule type="cellIs" dxfId="1" priority="3" operator="equal">
      <formula>"Pendente"</formula>
    </cfRule>
    <cfRule type="cellIs" dxfId="0" priority="4" operator="equal">
      <formula>"Cancelado"</formula>
    </cfRule>
  </conditionalFormatting>
  <dataValidations count="2">
    <dataValidation type="date" allowBlank="1" errorTitle="Data inválida" error="Introduza uma data válida, por exemplo 15/09/2026." sqref="A2:A299" xr:uid="{00000000-0002-0000-0100-000000000000}">
      <formula1>36526</formula1>
      <formula2>73415</formula2>
    </dataValidation>
    <dataValidation type="list" allowBlank="1" errorTitle="Estado inválido" error="Escolha um valor da lista." promptTitle="Estado" prompt="Escolha: Confirmado, Pendente ou Cancelado (vazio conta como Pendente)." sqref="H2:H299" xr:uid="{00000000-0002-0000-0100-000001000000}">
      <formula1>"Confirmado,Pendente,Cancelado"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2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1" customWidth="1"/>
    <col min="3" max="3" width="40" customWidth="1"/>
    <col min="4" max="4" width="34" customWidth="1"/>
  </cols>
  <sheetData>
    <row r="1" spans="1:4" ht="21.75" customHeight="1" x14ac:dyDescent="0.3">
      <c r="A1" s="12" t="s">
        <v>20</v>
      </c>
      <c r="B1" s="12" t="s">
        <v>21</v>
      </c>
      <c r="C1" s="12" t="s">
        <v>3</v>
      </c>
      <c r="D1" s="12" t="s">
        <v>29</v>
      </c>
    </row>
    <row r="2" spans="1:4" x14ac:dyDescent="0.3">
      <c r="A2" s="20">
        <f>DATE(AnoCalendario,1,1)</f>
        <v>46023</v>
      </c>
      <c r="B2" s="15" t="str">
        <f t="shared" ref="B2:B15" si="0">IF(A2="","",CHOOSE(WEEKDAY(A2,2),"Segunda","Terça","Quarta","Quinta","Sexta","Sábado","Domingo"))</f>
        <v>Quinta</v>
      </c>
      <c r="C2" s="16" t="s">
        <v>30</v>
      </c>
      <c r="D2" s="16" t="s">
        <v>31</v>
      </c>
    </row>
    <row r="3" spans="1:4" x14ac:dyDescent="0.3">
      <c r="A3" s="20">
        <f>A5-47</f>
        <v>46070</v>
      </c>
      <c r="B3" s="15" t="str">
        <f t="shared" si="0"/>
        <v>Terça</v>
      </c>
      <c r="C3" s="16" t="s">
        <v>32</v>
      </c>
      <c r="D3" s="16" t="s">
        <v>33</v>
      </c>
    </row>
    <row r="4" spans="1:4" x14ac:dyDescent="0.3">
      <c r="A4" s="20">
        <f>A5-2</f>
        <v>46115</v>
      </c>
      <c r="B4" s="15" t="str">
        <f t="shared" si="0"/>
        <v>Sexta</v>
      </c>
      <c r="C4" s="16" t="s">
        <v>34</v>
      </c>
      <c r="D4" s="16" t="s">
        <v>31</v>
      </c>
    </row>
    <row r="5" spans="1:4" x14ac:dyDescent="0.3">
      <c r="A5" s="20">
        <f>FLOOR(DATE(AnoCalendario,5,DAY(MINUTE(AnoCalendario/38)/2+56)),7)-34</f>
        <v>46117</v>
      </c>
      <c r="B5" s="15" t="str">
        <f t="shared" si="0"/>
        <v>Domingo</v>
      </c>
      <c r="C5" s="16" t="s">
        <v>35</v>
      </c>
      <c r="D5" s="16" t="s">
        <v>31</v>
      </c>
    </row>
    <row r="6" spans="1:4" x14ac:dyDescent="0.3">
      <c r="A6" s="20">
        <f>DATE(AnoCalendario,4,25)</f>
        <v>46137</v>
      </c>
      <c r="B6" s="15" t="str">
        <f t="shared" si="0"/>
        <v>Sábado</v>
      </c>
      <c r="C6" s="16" t="s">
        <v>36</v>
      </c>
      <c r="D6" s="16" t="s">
        <v>31</v>
      </c>
    </row>
    <row r="7" spans="1:4" x14ac:dyDescent="0.3">
      <c r="A7" s="20">
        <f>DATE(AnoCalendario,5,1)</f>
        <v>46143</v>
      </c>
      <c r="B7" s="15" t="str">
        <f t="shared" si="0"/>
        <v>Sexta</v>
      </c>
      <c r="C7" s="16" t="s">
        <v>37</v>
      </c>
      <c r="D7" s="16" t="s">
        <v>31</v>
      </c>
    </row>
    <row r="8" spans="1:4" x14ac:dyDescent="0.3">
      <c r="A8" s="20">
        <f>A5+60</f>
        <v>46177</v>
      </c>
      <c r="B8" s="15" t="str">
        <f t="shared" si="0"/>
        <v>Quinta</v>
      </c>
      <c r="C8" s="16" t="s">
        <v>38</v>
      </c>
      <c r="D8" s="16" t="s">
        <v>31</v>
      </c>
    </row>
    <row r="9" spans="1:4" x14ac:dyDescent="0.3">
      <c r="A9" s="20">
        <f>DATE(AnoCalendario,6,10)</f>
        <v>46183</v>
      </c>
      <c r="B9" s="15" t="str">
        <f t="shared" si="0"/>
        <v>Quarta</v>
      </c>
      <c r="C9" s="16" t="s">
        <v>39</v>
      </c>
      <c r="D9" s="16" t="s">
        <v>31</v>
      </c>
    </row>
    <row r="10" spans="1:4" x14ac:dyDescent="0.3">
      <c r="A10" s="20">
        <f>DATE(AnoCalendario,8,15)</f>
        <v>46249</v>
      </c>
      <c r="B10" s="15" t="str">
        <f t="shared" si="0"/>
        <v>Sábado</v>
      </c>
      <c r="C10" s="16" t="s">
        <v>40</v>
      </c>
      <c r="D10" s="16" t="s">
        <v>31</v>
      </c>
    </row>
    <row r="11" spans="1:4" x14ac:dyDescent="0.3">
      <c r="A11" s="20">
        <f>DATE(AnoCalendario,10,5)</f>
        <v>46300</v>
      </c>
      <c r="B11" s="15" t="str">
        <f t="shared" si="0"/>
        <v>Segunda</v>
      </c>
      <c r="C11" s="16" t="s">
        <v>41</v>
      </c>
      <c r="D11" s="16" t="s">
        <v>31</v>
      </c>
    </row>
    <row r="12" spans="1:4" x14ac:dyDescent="0.3">
      <c r="A12" s="20">
        <f>DATE(AnoCalendario,11,1)</f>
        <v>46327</v>
      </c>
      <c r="B12" s="15" t="str">
        <f t="shared" si="0"/>
        <v>Domingo</v>
      </c>
      <c r="C12" s="16" t="s">
        <v>42</v>
      </c>
      <c r="D12" s="16" t="s">
        <v>31</v>
      </c>
    </row>
    <row r="13" spans="1:4" x14ac:dyDescent="0.3">
      <c r="A13" s="20">
        <f>DATE(AnoCalendario,12,1)</f>
        <v>46357</v>
      </c>
      <c r="B13" s="15" t="str">
        <f t="shared" si="0"/>
        <v>Terça</v>
      </c>
      <c r="C13" s="16" t="s">
        <v>43</v>
      </c>
      <c r="D13" s="16" t="s">
        <v>31</v>
      </c>
    </row>
    <row r="14" spans="1:4" x14ac:dyDescent="0.3">
      <c r="A14" s="20">
        <f>DATE(AnoCalendario,12,8)</f>
        <v>46364</v>
      </c>
      <c r="B14" s="15" t="str">
        <f t="shared" si="0"/>
        <v>Terça</v>
      </c>
      <c r="C14" s="16" t="s">
        <v>44</v>
      </c>
      <c r="D14" s="16" t="s">
        <v>31</v>
      </c>
    </row>
    <row r="15" spans="1:4" x14ac:dyDescent="0.3">
      <c r="A15" s="20">
        <f>DATE(AnoCalendario,12,25)</f>
        <v>46381</v>
      </c>
      <c r="B15" s="15" t="str">
        <f t="shared" si="0"/>
        <v>Sexta</v>
      </c>
      <c r="C15" s="16" t="s">
        <v>45</v>
      </c>
      <c r="D15" s="16" t="s">
        <v>31</v>
      </c>
    </row>
    <row r="17" spans="1:4" ht="19.5" customHeight="1" x14ac:dyDescent="0.3">
      <c r="A17" s="43" t="s">
        <v>46</v>
      </c>
      <c r="B17" s="43"/>
      <c r="C17" s="43"/>
      <c r="D17" s="43"/>
    </row>
    <row r="18" spans="1:4" x14ac:dyDescent="0.3">
      <c r="A18" s="14"/>
      <c r="B18" s="15" t="str">
        <f t="shared" ref="B18:B27" si="1">IF(A18="","",CHOOSE(WEEKDAY(A18,2),"Segunda","Terça","Quarta","Quinta","Sexta","Sábado","Domingo"))</f>
        <v/>
      </c>
      <c r="C18" s="21"/>
      <c r="D18" s="16"/>
    </row>
    <row r="19" spans="1:4" x14ac:dyDescent="0.3">
      <c r="A19" s="14"/>
      <c r="B19" s="15" t="str">
        <f t="shared" si="1"/>
        <v/>
      </c>
      <c r="C19" s="21"/>
      <c r="D19" s="16"/>
    </row>
    <row r="20" spans="1:4" x14ac:dyDescent="0.3">
      <c r="A20" s="14"/>
      <c r="B20" s="15" t="str">
        <f t="shared" si="1"/>
        <v/>
      </c>
      <c r="C20" s="21"/>
      <c r="D20" s="16"/>
    </row>
    <row r="21" spans="1:4" x14ac:dyDescent="0.3">
      <c r="A21" s="14"/>
      <c r="B21" s="15" t="str">
        <f t="shared" si="1"/>
        <v/>
      </c>
      <c r="C21" s="21"/>
      <c r="D21" s="16"/>
    </row>
    <row r="22" spans="1:4" x14ac:dyDescent="0.3">
      <c r="A22" s="14"/>
      <c r="B22" s="15" t="str">
        <f t="shared" si="1"/>
        <v/>
      </c>
      <c r="C22" s="21"/>
      <c r="D22" s="16"/>
    </row>
    <row r="23" spans="1:4" x14ac:dyDescent="0.3">
      <c r="A23" s="14"/>
      <c r="B23" s="15" t="str">
        <f t="shared" si="1"/>
        <v/>
      </c>
      <c r="C23" s="21"/>
      <c r="D23" s="16"/>
    </row>
    <row r="24" spans="1:4" x14ac:dyDescent="0.3">
      <c r="A24" s="14"/>
      <c r="B24" s="15" t="str">
        <f t="shared" si="1"/>
        <v/>
      </c>
      <c r="C24" s="21"/>
      <c r="D24" s="16"/>
    </row>
    <row r="25" spans="1:4" x14ac:dyDescent="0.3">
      <c r="A25" s="14"/>
      <c r="B25" s="15" t="str">
        <f t="shared" si="1"/>
        <v/>
      </c>
      <c r="C25" s="21"/>
      <c r="D25" s="16"/>
    </row>
    <row r="26" spans="1:4" x14ac:dyDescent="0.3">
      <c r="A26" s="14"/>
      <c r="B26" s="15" t="str">
        <f t="shared" si="1"/>
        <v/>
      </c>
      <c r="C26" s="21"/>
      <c r="D26" s="16"/>
    </row>
    <row r="27" spans="1:4" x14ac:dyDescent="0.3">
      <c r="A27" s="14"/>
      <c r="B27" s="15" t="str">
        <f t="shared" si="1"/>
        <v/>
      </c>
      <c r="C27" s="21"/>
      <c r="D27" s="16"/>
    </row>
    <row r="29" spans="1:4" x14ac:dyDescent="0.3">
      <c r="A29" s="1" t="s">
        <v>47</v>
      </c>
    </row>
  </sheetData>
  <mergeCells count="1">
    <mergeCell ref="A17:D17"/>
  </mergeCells>
  <dataValidations count="1">
    <dataValidation type="date" allowBlank="1" errorTitle="Data inválida" error="Introduza uma data válida, por exemplo 24/06/2026." sqref="A18:A27" xr:uid="{00000000-0002-0000-0200-000000000000}">
      <formula1>36526</formula1>
      <formula2>73415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B9"/>
  <sheetViews>
    <sheetView zoomScaleNormal="100" workbookViewId="0">
      <selection activeCell="B7" sqref="B7"/>
    </sheetView>
  </sheetViews>
  <sheetFormatPr defaultColWidth="8.6640625" defaultRowHeight="14.4" x14ac:dyDescent="0.3"/>
  <cols>
    <col min="1" max="1" width="4" customWidth="1"/>
    <col min="2" max="2" width="110" customWidth="1"/>
  </cols>
  <sheetData>
    <row r="1" spans="1:2" ht="17.399999999999999" x14ac:dyDescent="0.3">
      <c r="B1" s="22" t="s">
        <v>48</v>
      </c>
    </row>
    <row r="3" spans="1:2" ht="31.5" customHeight="1" x14ac:dyDescent="0.3">
      <c r="A3" s="23" t="s">
        <v>49</v>
      </c>
      <c r="B3" s="24" t="s">
        <v>50</v>
      </c>
    </row>
    <row r="4" spans="1:2" ht="31.5" customHeight="1" x14ac:dyDescent="0.3">
      <c r="A4" s="23" t="s">
        <v>51</v>
      </c>
      <c r="B4" s="24" t="s">
        <v>52</v>
      </c>
    </row>
    <row r="5" spans="1:2" ht="31.5" customHeight="1" x14ac:dyDescent="0.3">
      <c r="A5" s="23" t="s">
        <v>53</v>
      </c>
      <c r="B5" s="24" t="s">
        <v>54</v>
      </c>
    </row>
    <row r="6" spans="1:2" ht="31.5" customHeight="1" x14ac:dyDescent="0.3">
      <c r="A6" s="23" t="s">
        <v>55</v>
      </c>
      <c r="B6" s="24" t="s">
        <v>56</v>
      </c>
    </row>
    <row r="7" spans="1:2" ht="31.5" customHeight="1" x14ac:dyDescent="0.3">
      <c r="A7" s="23" t="s">
        <v>57</v>
      </c>
      <c r="B7" s="24" t="s">
        <v>58</v>
      </c>
    </row>
    <row r="8" spans="1:2" ht="31.5" customHeight="1" x14ac:dyDescent="0.3">
      <c r="A8" s="23" t="s">
        <v>59</v>
      </c>
      <c r="B8" s="24" t="s">
        <v>60</v>
      </c>
    </row>
    <row r="9" spans="1:2" ht="31.5" customHeight="1" x14ac:dyDescent="0.3">
      <c r="A9" s="23" t="s">
        <v>61</v>
      </c>
      <c r="B9" s="24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3</vt:i4>
      </vt:variant>
    </vt:vector>
  </HeadingPairs>
  <TitlesOfParts>
    <vt:vector size="7" baseType="lpstr">
      <vt:lpstr>Calendário</vt:lpstr>
      <vt:lpstr>Eventos</vt:lpstr>
      <vt:lpstr>Feriados</vt:lpstr>
      <vt:lpstr>Instruções</vt:lpstr>
      <vt:lpstr>AnoCalendario</vt:lpstr>
      <vt:lpstr>Calendário!Área_de_Impressão</vt:lpstr>
      <vt:lpstr>Eventos!Títulos_de_Impressão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João Miguel Pinto Castro</cp:lastModifiedBy>
  <cp:revision>0</cp:revision>
  <cp:lastPrinted>2026-08-31T04:43:38Z</cp:lastPrinted>
  <dcterms:created xsi:type="dcterms:W3CDTF">2026-08-31T04:28:26Z</dcterms:created>
  <dcterms:modified xsi:type="dcterms:W3CDTF">2026-08-31T04:57:44Z</dcterms:modified>
  <dc:language>en-US</dc:language>
</cp:coreProperties>
</file>