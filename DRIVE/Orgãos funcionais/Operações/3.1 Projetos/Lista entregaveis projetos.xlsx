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str\MINDSET\DRIVE\Orgãos funcionais\Operações\3.1 Projetos\"/>
    </mc:Choice>
  </mc:AlternateContent>
  <xr:revisionPtr revIDLastSave="0" documentId="13_ncr:1_{511C5A47-359F-462C-8BD6-85FCBD9CFBD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📦 Entregáveis" sheetId="3" r:id="rId1"/>
    <sheet name="📋 Registo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3" l="1"/>
  <c r="B6" i="2"/>
  <c r="B7" i="2"/>
  <c r="B8" i="2"/>
  <c r="B9" i="2"/>
  <c r="B10" i="2"/>
  <c r="B11" i="2"/>
  <c r="B12" i="2"/>
  <c r="B13" i="2"/>
  <c r="G6" i="3"/>
  <c r="E6" i="3"/>
  <c r="B5" i="2"/>
  <c r="I6" i="3"/>
  <c r="B14" i="2"/>
</calcChain>
</file>

<file path=xl/sharedStrings.xml><?xml version="1.0" encoding="utf-8"?>
<sst xmlns="http://schemas.openxmlformats.org/spreadsheetml/2006/main" count="76" uniqueCount="61">
  <si>
    <t>Nº</t>
  </si>
  <si>
    <t>📋  REGISTO DE PROJETOS</t>
  </si>
  <si>
    <t>Código Projeto</t>
  </si>
  <si>
    <t>Ano</t>
  </si>
  <si>
    <t>Nome</t>
  </si>
  <si>
    <t>Localização</t>
  </si>
  <si>
    <t>Cliente</t>
  </si>
  <si>
    <t>Categoria</t>
  </si>
  <si>
    <t>💡  Preencha as colunas C a H — o Código é gerado automaticamente</t>
  </si>
  <si>
    <t>📦  LISTA DE ENTREGÁVEIS</t>
  </si>
  <si>
    <t>Registo de entregáveis por projeto — acompanhe o estado de entrega e datas de revisão</t>
  </si>
  <si>
    <t>Total</t>
  </si>
  <si>
    <t>Entregues</t>
  </si>
  <si>
    <t>Pendentes</t>
  </si>
  <si>
    <t>Em revisão</t>
  </si>
  <si>
    <t>Nome do Projeto</t>
  </si>
  <si>
    <t>Código Interno</t>
  </si>
  <si>
    <t>Descrição do Entregável</t>
  </si>
  <si>
    <t>Estado</t>
  </si>
  <si>
    <t>Data de Revisão</t>
  </si>
  <si>
    <t>Observações</t>
  </si>
  <si>
    <t>✅ Entregue</t>
  </si>
  <si>
    <t>Aprovado pelo cliente</t>
  </si>
  <si>
    <t>🔄 Em revisão</t>
  </si>
  <si>
    <t>Aguarda feedback</t>
  </si>
  <si>
    <t>⏳ Pendente</t>
  </si>
  <si>
    <t>Em elaboração</t>
  </si>
  <si>
    <t>Validado</t>
  </si>
  <si>
    <t>2ª revisão em curso</t>
  </si>
  <si>
    <t>💡  Estado: escreva  ✅ Entregue  |  ⏳ Pendente  |  🔄 Em revisão   —   Código Interno: preencha quando disponível</t>
  </si>
  <si>
    <t>PORTO</t>
  </si>
  <si>
    <t xml:space="preserve">AE ISEP </t>
  </si>
  <si>
    <t>AUDIO</t>
  </si>
  <si>
    <t>SoundSystem (SS) Ae ISEP</t>
  </si>
  <si>
    <t xml:space="preserve">Zona de convivio e posteriormente exterior </t>
  </si>
  <si>
    <t>Espera fornecedor</t>
  </si>
  <si>
    <t>CAFE TRINDADE 1961</t>
  </si>
  <si>
    <t>ESPLANADA</t>
  </si>
  <si>
    <t>SAO JOAO</t>
  </si>
  <si>
    <t>SOPAS</t>
  </si>
  <si>
    <t>Zona exterior (esplanada)</t>
  </si>
  <si>
    <t>SSYSTEM</t>
  </si>
  <si>
    <t>POR-2026-0002-SSYS</t>
  </si>
  <si>
    <t>SAO-2026-0003-ESPL</t>
  </si>
  <si>
    <t>INTERNO</t>
  </si>
  <si>
    <t>PASS</t>
  </si>
  <si>
    <t>PA SoundSystem</t>
  </si>
  <si>
    <t xml:space="preserve">Sistema som completo </t>
  </si>
  <si>
    <t>INDEFINIDA</t>
  </si>
  <si>
    <t>25001 (interno)</t>
  </si>
  <si>
    <t>26003 (externo)</t>
  </si>
  <si>
    <t>26002 (externo)</t>
  </si>
  <si>
    <t>FATURADO</t>
  </si>
  <si>
    <t>Espera do cliente</t>
  </si>
  <si>
    <t>TIA</t>
  </si>
  <si>
    <t>Visita obrigatoria</t>
  </si>
  <si>
    <t>SAO-2026-0004-ESPL</t>
  </si>
  <si>
    <t>POR-2025-0001-PASS</t>
  </si>
  <si>
    <t>26004 (externo)</t>
  </si>
  <si>
    <t>Zona exteriror (esplanada)</t>
  </si>
  <si>
    <t>MARCAR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</si>
</sst>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20"/>
      <color rgb="FFE94560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b/>
      <sz val="18"/>
      <color rgb="FFE94560"/>
      <name val="Arial"/>
      <charset val="1"/>
    </font>
    <font>
      <b/>
      <sz val="11"/>
      <color rgb="FF1A1A2E"/>
      <name val="Courier New"/>
      <charset val="1"/>
    </font>
    <font>
      <sz val="10"/>
      <color rgb="FF333333"/>
      <name val="Arial"/>
      <charset val="1"/>
    </font>
    <font>
      <b/>
      <sz val="11"/>
      <color rgb="FF0F3460"/>
      <name val="Courier New"/>
      <charset val="1"/>
    </font>
    <font>
      <i/>
      <sz val="9"/>
      <color rgb="FF666666"/>
      <name val="Arial"/>
      <charset val="1"/>
    </font>
    <font>
      <b/>
      <sz val="9"/>
      <color rgb="FFFFFFFF"/>
      <name val="Arial"/>
      <charset val="1"/>
    </font>
    <font>
      <b/>
      <sz val="16"/>
      <color rgb="FFFFFFFF"/>
      <name val="Arial"/>
      <charset val="1"/>
    </font>
    <font>
      <b/>
      <sz val="10"/>
      <color rgb="FF0F3460"/>
      <name val="Courier New"/>
      <charset val="1"/>
    </font>
    <font>
      <sz val="10"/>
      <color rgb="FF222222"/>
      <name val="Arial"/>
      <charset val="1"/>
    </font>
    <font>
      <b/>
      <sz val="10"/>
      <color rgb="FF1A7A4A"/>
      <name val="Arial"/>
      <charset val="1"/>
    </font>
    <font>
      <b/>
      <sz val="10"/>
      <color rgb="FF1A5276"/>
      <name val="Arial"/>
      <charset val="1"/>
    </font>
    <font>
      <b/>
      <sz val="10"/>
      <color rgb="FF7D6608"/>
      <name val="Arial"/>
      <charset val="1"/>
    </font>
    <font>
      <i/>
      <sz val="9"/>
      <color rgb="FFBBBBBB"/>
      <name val="Arial"/>
      <charset val="1"/>
    </font>
    <font>
      <i/>
      <sz val="9"/>
      <color rgb="FF555555"/>
      <name val="Arial"/>
      <charset val="1"/>
    </font>
    <font>
      <b/>
      <i/>
      <sz val="9"/>
      <color theme="1"/>
      <name val="Arial"/>
      <family val="2"/>
    </font>
    <font>
      <sz val="10"/>
      <color rgb="FF222222"/>
      <name val="Arial"/>
      <family val="2"/>
    </font>
    <font>
      <sz val="10"/>
      <color rgb="FF333333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16213E"/>
      </patternFill>
    </fill>
    <fill>
      <patternFill patternType="solid">
        <fgColor rgb="FFF0F4FF"/>
        <bgColor rgb="FFF0F8FF"/>
      </patternFill>
    </fill>
    <fill>
      <patternFill patternType="solid">
        <fgColor rgb="FFEAF4FF"/>
        <bgColor rgb="FFEBF5FB"/>
      </patternFill>
    </fill>
    <fill>
      <patternFill patternType="solid">
        <fgColor rgb="FFF5F7FF"/>
        <bgColor rgb="FFF8F8FF"/>
      </patternFill>
    </fill>
    <fill>
      <patternFill patternType="solid">
        <fgColor rgb="FFFFFFFF"/>
        <bgColor rgb="FFF8F9FF"/>
      </patternFill>
    </fill>
    <fill>
      <patternFill patternType="solid">
        <fgColor rgb="FF1ABC9C"/>
        <bgColor rgb="FF339966"/>
      </patternFill>
    </fill>
    <fill>
      <patternFill patternType="solid">
        <fgColor rgb="FFE94560"/>
        <bgColor rgb="FF993366"/>
      </patternFill>
    </fill>
    <fill>
      <patternFill patternType="solid">
        <fgColor rgb="FFF39C12"/>
        <bgColor rgb="FF99CC00"/>
      </patternFill>
    </fill>
    <fill>
      <patternFill patternType="solid">
        <fgColor rgb="FFF8F9FF"/>
        <bgColor rgb="FFF8F8FF"/>
      </patternFill>
    </fill>
    <fill>
      <patternFill patternType="solid">
        <fgColor rgb="FFFFFBE6"/>
        <bgColor rgb="FFFEF9E7"/>
      </patternFill>
    </fill>
    <fill>
      <patternFill patternType="solid">
        <fgColor rgb="FFD5F5E3"/>
        <bgColor rgb="FFDDEEFF"/>
      </patternFill>
    </fill>
    <fill>
      <patternFill patternType="solid">
        <fgColor rgb="FFEBF5FB"/>
        <bgColor rgb="FFEAF4FF"/>
      </patternFill>
    </fill>
    <fill>
      <patternFill patternType="solid">
        <fgColor rgb="FFFEF9E7"/>
        <bgColor rgb="FFFFFBE6"/>
      </patternFill>
    </fill>
  </fills>
  <borders count="9">
    <border>
      <left/>
      <right/>
      <top/>
      <bottom/>
      <diagonal/>
    </border>
    <border>
      <left style="thin">
        <color rgb="FF0F3460"/>
      </left>
      <right style="thin">
        <color rgb="FF0F3460"/>
      </right>
      <top style="thin">
        <color rgb="FF0F3460"/>
      </top>
      <bottom style="thin">
        <color rgb="FF0F3460"/>
      </bottom>
      <diagonal/>
    </border>
    <border>
      <left style="thin">
        <color rgb="FF16213E"/>
      </left>
      <right style="thin">
        <color rgb="FF16213E"/>
      </right>
      <top style="thin">
        <color rgb="FF16213E"/>
      </top>
      <bottom style="thin">
        <color rgb="FF16213E"/>
      </bottom>
      <diagonal/>
    </border>
    <border>
      <left style="thin">
        <color rgb="FFDDDDEE"/>
      </left>
      <right style="thin">
        <color rgb="FFDDDDEE"/>
      </right>
      <top style="thin">
        <color rgb="FFDDDDEE"/>
      </top>
      <bottom style="thin">
        <color rgb="FFDDDDEE"/>
      </bottom>
      <diagonal/>
    </border>
    <border>
      <left style="thin">
        <color rgb="FFBBCCDD"/>
      </left>
      <right style="thin">
        <color rgb="FFBBCCDD"/>
      </right>
      <top style="thin">
        <color rgb="FFBBCCDD"/>
      </top>
      <bottom style="thin">
        <color rgb="FFBBCCDD"/>
      </bottom>
      <diagonal/>
    </border>
    <border>
      <left style="thin">
        <color rgb="FF1ABC9C"/>
      </left>
      <right style="thin">
        <color rgb="FF1ABC9C"/>
      </right>
      <top style="thin">
        <color rgb="FF1ABC9C"/>
      </top>
      <bottom style="thin">
        <color rgb="FF1ABC9C"/>
      </bottom>
      <diagonal/>
    </border>
    <border>
      <left style="thin">
        <color rgb="FFE94560"/>
      </left>
      <right style="thin">
        <color rgb="FFE94560"/>
      </right>
      <top style="thin">
        <color rgb="FFE94560"/>
      </top>
      <bottom style="thin">
        <color rgb="FFE94560"/>
      </bottom>
      <diagonal/>
    </border>
    <border>
      <left style="thin">
        <color rgb="FFF39C12"/>
      </left>
      <right style="thin">
        <color rgb="FFF39C12"/>
      </right>
      <top style="thin">
        <color rgb="FFF39C12"/>
      </top>
      <bottom style="thin">
        <color rgb="FFF39C12"/>
      </bottom>
      <diagonal/>
    </border>
    <border>
      <left style="thin">
        <color rgb="FFDDEEFF"/>
      </left>
      <right style="thin">
        <color rgb="FFDDEEFF"/>
      </right>
      <top style="thin">
        <color rgb="FFDDEEFF"/>
      </top>
      <bottom style="thin">
        <color rgb="FFDDEEF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11" fillId="11" borderId="8" xfId="0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left" vertical="center"/>
    </xf>
    <xf numFmtId="0" fontId="13" fillId="13" borderId="8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left" vertical="center"/>
    </xf>
    <xf numFmtId="0" fontId="14" fillId="14" borderId="8" xfId="0" applyFont="1" applyFill="1" applyBorder="1" applyAlignment="1">
      <alignment horizontal="center" vertical="center"/>
    </xf>
    <xf numFmtId="0" fontId="15" fillId="1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8" fillId="12" borderId="8" xfId="0" applyFont="1" applyFill="1" applyBorder="1" applyAlignment="1">
      <alignment horizontal="center" vertical="center"/>
    </xf>
    <xf numFmtId="0" fontId="19" fillId="11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19" fillId="7" borderId="8" xfId="0" applyFont="1" applyFill="1" applyBorder="1" applyAlignment="1">
      <alignment horizontal="left" vertical="center"/>
    </xf>
    <xf numFmtId="14" fontId="6" fillId="7" borderId="8" xfId="0" applyNumberFormat="1" applyFont="1" applyFill="1" applyBorder="1" applyAlignment="1">
      <alignment horizontal="center" vertical="center"/>
    </xf>
    <xf numFmtId="0" fontId="0" fillId="4" borderId="0" xfId="0" applyFill="1"/>
    <xf numFmtId="0" fontId="17" fillId="4" borderId="0" xfId="0" applyFont="1" applyFill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8F9FF"/>
      <rgbColor rgb="FFFF00FF"/>
      <rgbColor rgb="FF00FFFF"/>
      <rgbColor rgb="FF800000"/>
      <rgbColor rgb="FF008000"/>
      <rgbColor rgb="FF1A1A2E"/>
      <rgbColor rgb="FF7D6608"/>
      <rgbColor rgb="FF800080"/>
      <rgbColor rgb="FF1A7A4A"/>
      <rgbColor rgb="FFBBBBBB"/>
      <rgbColor rgb="FF555555"/>
      <rgbColor rgb="FFAAAACC"/>
      <rgbColor rgb="FF444444"/>
      <rgbColor rgb="FFFFFBE6"/>
      <rgbColor rgb="FFDDEEFF"/>
      <rgbColor rgb="FF660066"/>
      <rgbColor rgb="FFF0F8FF"/>
      <rgbColor rgb="FF336699"/>
      <rgbColor rgb="FFBBCCDD"/>
      <rgbColor rgb="FF000080"/>
      <rgbColor rgb="FFFF00FF"/>
      <rgbColor rgb="FFF8F8FF"/>
      <rgbColor rgb="FF00FFFF"/>
      <rgbColor rgb="FF800080"/>
      <rgbColor rgb="FF800000"/>
      <rgbColor rgb="FF1A5276"/>
      <rgbColor rgb="FF0000FF"/>
      <rgbColor rgb="FF00CCFF"/>
      <rgbColor rgb="FFEAF4FF"/>
      <rgbColor rgb="FFD5F5E3"/>
      <rgbColor rgb="FFFEF9E7"/>
      <rgbColor rgb="FFCCCCCC"/>
      <rgbColor rgb="FFF0F4FF"/>
      <rgbColor rgb="FFEBF5FB"/>
      <rgbColor rgb="FFDDDDEE"/>
      <rgbColor rgb="FF4A90D9"/>
      <rgbColor rgb="FF1ABC9C"/>
      <rgbColor rgb="FF99CC00"/>
      <rgbColor rgb="FFF5F7FF"/>
      <rgbColor rgb="FFF39C12"/>
      <rgbColor rgb="FFE94560"/>
      <rgbColor rgb="FF666666"/>
      <rgbColor rgb="FFAAAAAA"/>
      <rgbColor rgb="FF0F3460"/>
      <rgbColor rgb="FF339966"/>
      <rgbColor rgb="FF16213E"/>
      <rgbColor rgb="FF222222"/>
      <rgbColor rgb="FF993300"/>
      <rgbColor rgb="FF993366"/>
      <rgbColor rgb="FF533483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5119F82-6EFA-4B13-AACA-C77A749ECACB}">
  <we:reference id="81ae7f57-2760-4043-a9cb-e0d36209e808" version="1.3.0.0" store="EXCatalog" storeType="EXCatalog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2"/>
  <sheetViews>
    <sheetView showGridLines="0" tabSelected="1" zoomScale="105"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I15" sqref="I15"/>
    </sheetView>
  </sheetViews>
  <sheetFormatPr defaultColWidth="8.6640625" defaultRowHeight="14.4" x14ac:dyDescent="0.3"/>
  <cols>
    <col min="1" max="1" width="3" customWidth="1"/>
    <col min="2" max="2" width="6" customWidth="1"/>
    <col min="3" max="3" width="28" customWidth="1"/>
    <col min="4" max="4" width="22.109375" bestFit="1" customWidth="1"/>
    <col min="5" max="5" width="18" customWidth="1"/>
    <col min="6" max="6" width="36.44140625" bestFit="1" customWidth="1"/>
    <col min="7" max="8" width="16" customWidth="1"/>
    <col min="9" max="9" width="32.21875" bestFit="1" customWidth="1"/>
    <col min="10" max="10" width="3" customWidth="1"/>
  </cols>
  <sheetData>
    <row r="1" spans="1:14" ht="12" customHeight="1" x14ac:dyDescent="0.3">
      <c r="A1" s="38"/>
      <c r="B1" s="38"/>
      <c r="C1" s="38"/>
      <c r="D1" s="38"/>
      <c r="E1" s="38"/>
      <c r="F1" s="38"/>
      <c r="G1" s="38"/>
      <c r="H1" s="38"/>
      <c r="I1" s="38"/>
      <c r="J1" s="38"/>
    </row>
    <row r="2" spans="1:14" ht="45.75" customHeight="1" x14ac:dyDescent="0.3">
      <c r="A2" s="39" t="s">
        <v>9</v>
      </c>
      <c r="B2" s="39"/>
      <c r="C2" s="39"/>
      <c r="D2" s="39"/>
      <c r="E2" s="39"/>
      <c r="F2" s="39"/>
      <c r="G2" s="39"/>
      <c r="H2" s="39"/>
      <c r="I2" s="39"/>
      <c r="J2" s="39"/>
      <c r="L2" s="22" t="s">
        <v>21</v>
      </c>
      <c r="N2" s="19" t="s">
        <v>28</v>
      </c>
    </row>
    <row r="3" spans="1:14" ht="12" customHeight="1" x14ac:dyDescent="0.3">
      <c r="A3" s="40"/>
      <c r="B3" s="40"/>
      <c r="C3" s="40"/>
      <c r="D3" s="40"/>
      <c r="E3" s="40"/>
      <c r="F3" s="40"/>
      <c r="G3" s="40"/>
      <c r="H3" s="40"/>
      <c r="I3" s="40"/>
      <c r="J3" s="40"/>
      <c r="L3" s="26" t="s">
        <v>23</v>
      </c>
    </row>
    <row r="4" spans="1:14" ht="24" customHeight="1" x14ac:dyDescent="0.3">
      <c r="A4" s="41" t="s">
        <v>10</v>
      </c>
      <c r="B4" s="41"/>
      <c r="C4" s="41"/>
      <c r="D4" s="41"/>
      <c r="E4" s="41"/>
      <c r="F4" s="41"/>
      <c r="G4" s="41"/>
      <c r="H4" s="41"/>
      <c r="I4" s="41"/>
      <c r="J4" s="41"/>
      <c r="L4" s="27" t="s">
        <v>25</v>
      </c>
    </row>
    <row r="5" spans="1:14" ht="9.75" customHeight="1" x14ac:dyDescent="0.3">
      <c r="A5" s="36"/>
      <c r="B5" s="36"/>
      <c r="C5" s="36"/>
      <c r="D5" s="36"/>
      <c r="E5" s="36"/>
      <c r="F5" s="36"/>
      <c r="G5" s="36"/>
      <c r="H5" s="36"/>
      <c r="I5" s="36"/>
      <c r="J5" s="36"/>
      <c r="L5" s="19" t="s">
        <v>22</v>
      </c>
    </row>
    <row r="6" spans="1:14" ht="36" customHeight="1" x14ac:dyDescent="0.3">
      <c r="B6" s="9" t="s">
        <v>11</v>
      </c>
      <c r="C6" s="10">
        <f>COUNTA(C10:C19)</f>
        <v>4</v>
      </c>
      <c r="D6" s="11" t="s">
        <v>12</v>
      </c>
      <c r="E6" s="12">
        <f>COUNTIF(G10:G59,"✅ Entregue")</f>
        <v>1</v>
      </c>
      <c r="F6" s="13" t="s">
        <v>13</v>
      </c>
      <c r="G6" s="14">
        <f>COUNTIF(G10:G59,"⏳ Pendente")</f>
        <v>1</v>
      </c>
      <c r="H6" s="15" t="s">
        <v>14</v>
      </c>
      <c r="I6" s="16">
        <f>COUNTIF(G10:G59,"🔄 Em revisão")</f>
        <v>2</v>
      </c>
      <c r="L6" s="19" t="s">
        <v>24</v>
      </c>
      <c r="N6" s="31" t="s">
        <v>53</v>
      </c>
    </row>
    <row r="7" spans="1:14" ht="9.75" customHeight="1" x14ac:dyDescent="0.3">
      <c r="A7" s="36"/>
      <c r="B7" s="36"/>
      <c r="C7" s="36"/>
      <c r="D7" s="36"/>
      <c r="E7" s="36"/>
      <c r="F7" s="36"/>
      <c r="G7" s="36"/>
      <c r="H7" s="36"/>
      <c r="I7" s="36"/>
      <c r="J7" s="36"/>
      <c r="L7" s="23" t="s">
        <v>27</v>
      </c>
    </row>
    <row r="8" spans="1:14" ht="27.75" customHeight="1" x14ac:dyDescent="0.3">
      <c r="A8" s="1"/>
      <c r="B8" s="1" t="s">
        <v>0</v>
      </c>
      <c r="C8" s="1" t="s">
        <v>15</v>
      </c>
      <c r="D8" s="1" t="s">
        <v>2</v>
      </c>
      <c r="E8" s="1" t="s">
        <v>16</v>
      </c>
      <c r="F8" s="1" t="s">
        <v>17</v>
      </c>
      <c r="G8" s="1" t="s">
        <v>18</v>
      </c>
      <c r="H8" s="1" t="s">
        <v>19</v>
      </c>
      <c r="I8" s="1" t="s">
        <v>20</v>
      </c>
      <c r="J8" s="1"/>
      <c r="L8" s="19" t="s">
        <v>26</v>
      </c>
      <c r="N8" s="31" t="s">
        <v>35</v>
      </c>
    </row>
    <row r="9" spans="1:14" ht="6" customHeight="1" x14ac:dyDescent="0.3">
      <c r="A9" s="36"/>
      <c r="B9" s="36"/>
      <c r="C9" s="36"/>
      <c r="D9" s="36"/>
      <c r="E9" s="36"/>
      <c r="F9" s="36"/>
      <c r="G9" s="36"/>
      <c r="H9" s="36"/>
      <c r="I9" s="36"/>
      <c r="J9" s="36"/>
    </row>
    <row r="10" spans="1:14" ht="24" customHeight="1" x14ac:dyDescent="0.3">
      <c r="A10" s="17"/>
      <c r="B10" s="18">
        <v>1</v>
      </c>
      <c r="C10" s="19" t="s">
        <v>33</v>
      </c>
      <c r="D10" s="20" t="s">
        <v>42</v>
      </c>
      <c r="E10" s="29" t="s">
        <v>51</v>
      </c>
      <c r="F10" s="30" t="s">
        <v>34</v>
      </c>
      <c r="G10" s="22" t="s">
        <v>21</v>
      </c>
      <c r="H10" s="35">
        <v>46161</v>
      </c>
      <c r="I10" s="19" t="s">
        <v>52</v>
      </c>
      <c r="J10" s="17"/>
    </row>
    <row r="11" spans="1:14" ht="24" customHeight="1" x14ac:dyDescent="0.3">
      <c r="A11" s="17"/>
      <c r="B11" s="18">
        <v>2</v>
      </c>
      <c r="C11" s="23" t="s">
        <v>36</v>
      </c>
      <c r="D11" s="24" t="s">
        <v>43</v>
      </c>
      <c r="E11" s="29" t="s">
        <v>50</v>
      </c>
      <c r="F11" s="34" t="s">
        <v>40</v>
      </c>
      <c r="G11" s="26" t="s">
        <v>23</v>
      </c>
      <c r="H11" s="35">
        <v>46147</v>
      </c>
      <c r="I11" s="31" t="s">
        <v>53</v>
      </c>
      <c r="J11" s="17"/>
    </row>
    <row r="12" spans="1:14" ht="24" customHeight="1" x14ac:dyDescent="0.3">
      <c r="A12" s="17"/>
      <c r="B12" s="18">
        <v>3</v>
      </c>
      <c r="C12" s="19" t="s">
        <v>46</v>
      </c>
      <c r="D12" s="20" t="s">
        <v>57</v>
      </c>
      <c r="E12" s="29" t="s">
        <v>49</v>
      </c>
      <c r="F12" s="21" t="s">
        <v>47</v>
      </c>
      <c r="G12" s="27" t="s">
        <v>25</v>
      </c>
      <c r="H12" s="19" t="s">
        <v>48</v>
      </c>
      <c r="I12" s="19" t="s">
        <v>26</v>
      </c>
      <c r="J12" s="17"/>
    </row>
    <row r="13" spans="1:14" ht="24" customHeight="1" x14ac:dyDescent="0.3">
      <c r="A13" s="17"/>
      <c r="B13" s="18">
        <v>4</v>
      </c>
      <c r="C13" s="23" t="s">
        <v>55</v>
      </c>
      <c r="D13" s="24" t="s">
        <v>56</v>
      </c>
      <c r="E13" s="29" t="s">
        <v>58</v>
      </c>
      <c r="F13" s="25" t="s">
        <v>59</v>
      </c>
      <c r="G13" s="26" t="s">
        <v>23</v>
      </c>
      <c r="H13" s="23" t="s">
        <v>60</v>
      </c>
      <c r="I13" s="19" t="s">
        <v>26</v>
      </c>
      <c r="J13" s="17"/>
    </row>
    <row r="14" spans="1:14" ht="24" customHeight="1" x14ac:dyDescent="0.3">
      <c r="A14" s="17"/>
      <c r="B14" s="18">
        <v>5</v>
      </c>
      <c r="C14" s="19"/>
      <c r="D14" s="20"/>
      <c r="E14" s="29"/>
      <c r="F14" s="21"/>
      <c r="G14" s="27"/>
      <c r="H14" s="19"/>
      <c r="I14" s="19"/>
      <c r="J14" s="17"/>
    </row>
    <row r="15" spans="1:14" ht="24" customHeight="1" x14ac:dyDescent="0.3">
      <c r="A15" s="17"/>
      <c r="B15" s="18">
        <v>6</v>
      </c>
      <c r="C15" s="23"/>
      <c r="D15" s="24"/>
      <c r="E15" s="29"/>
      <c r="F15" s="25"/>
      <c r="G15" s="27"/>
      <c r="H15" s="23"/>
      <c r="I15" s="23"/>
      <c r="J15" s="17"/>
    </row>
    <row r="16" spans="1:14" ht="24" customHeight="1" x14ac:dyDescent="0.3">
      <c r="A16" s="17"/>
      <c r="B16" s="18">
        <v>7</v>
      </c>
      <c r="C16" s="19"/>
      <c r="D16" s="20"/>
      <c r="E16" s="29"/>
      <c r="F16" s="21"/>
      <c r="G16" s="27"/>
      <c r="H16" s="19"/>
      <c r="I16" s="19"/>
      <c r="J16" s="17"/>
    </row>
    <row r="17" spans="1:10" ht="24" customHeight="1" x14ac:dyDescent="0.3">
      <c r="A17" s="17"/>
      <c r="B17" s="18">
        <v>8</v>
      </c>
      <c r="C17" s="23"/>
      <c r="D17" s="24"/>
      <c r="E17" s="29"/>
      <c r="F17" s="25"/>
      <c r="G17" s="27"/>
      <c r="H17" s="23"/>
      <c r="I17" s="23"/>
      <c r="J17" s="17"/>
    </row>
    <row r="18" spans="1:10" ht="24" customHeight="1" x14ac:dyDescent="0.3">
      <c r="A18" s="17"/>
      <c r="B18" s="18">
        <v>9</v>
      </c>
      <c r="C18" s="19"/>
      <c r="D18" s="20"/>
      <c r="E18" s="29"/>
      <c r="F18" s="21"/>
      <c r="G18" s="27"/>
      <c r="H18" s="19"/>
      <c r="I18" s="19"/>
      <c r="J18" s="17"/>
    </row>
    <row r="19" spans="1:10" ht="24" customHeight="1" x14ac:dyDescent="0.3">
      <c r="A19" s="17"/>
      <c r="B19" s="18">
        <v>10</v>
      </c>
      <c r="C19" s="23"/>
      <c r="D19" s="24"/>
      <c r="E19" s="29"/>
      <c r="F19" s="25"/>
      <c r="G19" s="27"/>
      <c r="H19" s="23"/>
      <c r="I19" s="23"/>
      <c r="J19" s="17"/>
    </row>
    <row r="20" spans="1:10" ht="24" customHeight="1" x14ac:dyDescent="0.3">
      <c r="A20" s="17"/>
      <c r="B20" s="18">
        <v>11</v>
      </c>
      <c r="C20" s="28"/>
      <c r="D20" s="28"/>
      <c r="E20" s="29"/>
      <c r="F20" s="28"/>
      <c r="G20" s="27"/>
      <c r="H20" s="28"/>
      <c r="I20" s="28"/>
      <c r="J20" s="17"/>
    </row>
    <row r="21" spans="1:10" ht="24" customHeight="1" x14ac:dyDescent="0.3">
      <c r="A21" s="17"/>
      <c r="B21" s="18">
        <v>12</v>
      </c>
      <c r="C21" s="28"/>
      <c r="D21" s="28"/>
      <c r="E21" s="29"/>
      <c r="F21" s="28"/>
      <c r="G21" s="27"/>
      <c r="H21" s="28"/>
      <c r="I21" s="28"/>
      <c r="J21" s="17"/>
    </row>
    <row r="22" spans="1:10" ht="24" customHeight="1" x14ac:dyDescent="0.3">
      <c r="A22" s="17"/>
      <c r="B22" s="18">
        <v>13</v>
      </c>
      <c r="C22" s="28"/>
      <c r="D22" s="28"/>
      <c r="E22" s="29"/>
      <c r="F22" s="28"/>
      <c r="G22" s="27"/>
      <c r="H22" s="28"/>
      <c r="I22" s="28"/>
      <c r="J22" s="17"/>
    </row>
    <row r="23" spans="1:10" ht="24" customHeight="1" x14ac:dyDescent="0.3">
      <c r="A23" s="17"/>
      <c r="B23" s="18">
        <v>14</v>
      </c>
      <c r="C23" s="28"/>
      <c r="D23" s="28"/>
      <c r="E23" s="29"/>
      <c r="F23" s="28"/>
      <c r="G23" s="27"/>
      <c r="H23" s="28"/>
      <c r="I23" s="28"/>
      <c r="J23" s="17"/>
    </row>
    <row r="24" spans="1:10" ht="24" customHeight="1" x14ac:dyDescent="0.3">
      <c r="A24" s="17"/>
      <c r="B24" s="18">
        <v>15</v>
      </c>
      <c r="C24" s="28"/>
      <c r="D24" s="28"/>
      <c r="E24" s="29"/>
      <c r="F24" s="28"/>
      <c r="G24" s="27"/>
      <c r="H24" s="28"/>
      <c r="I24" s="28"/>
      <c r="J24" s="17"/>
    </row>
    <row r="25" spans="1:10" ht="24" customHeight="1" x14ac:dyDescent="0.3">
      <c r="A25" s="17"/>
      <c r="B25" s="18">
        <v>16</v>
      </c>
      <c r="C25" s="28"/>
      <c r="D25" s="28"/>
      <c r="E25" s="29"/>
      <c r="F25" s="28"/>
      <c r="G25" s="27"/>
      <c r="H25" s="28"/>
      <c r="I25" s="28"/>
      <c r="J25" s="17"/>
    </row>
    <row r="26" spans="1:10" ht="24" customHeight="1" x14ac:dyDescent="0.3">
      <c r="A26" s="17"/>
      <c r="B26" s="18">
        <v>17</v>
      </c>
      <c r="C26" s="28"/>
      <c r="D26" s="28"/>
      <c r="E26" s="29"/>
      <c r="F26" s="28"/>
      <c r="G26" s="27"/>
      <c r="H26" s="28"/>
      <c r="I26" s="28"/>
      <c r="J26" s="17"/>
    </row>
    <row r="27" spans="1:10" ht="24" customHeight="1" x14ac:dyDescent="0.3">
      <c r="A27" s="17"/>
      <c r="B27" s="18">
        <v>18</v>
      </c>
      <c r="C27" s="28"/>
      <c r="D27" s="28"/>
      <c r="E27" s="29"/>
      <c r="F27" s="28"/>
      <c r="G27" s="27"/>
      <c r="H27" s="28"/>
      <c r="I27" s="28"/>
      <c r="J27" s="17"/>
    </row>
    <row r="28" spans="1:10" ht="24" customHeight="1" x14ac:dyDescent="0.3">
      <c r="A28" s="17"/>
      <c r="B28" s="18">
        <v>19</v>
      </c>
      <c r="C28" s="28"/>
      <c r="D28" s="28"/>
      <c r="E28" s="29"/>
      <c r="F28" s="28"/>
      <c r="G28" s="27"/>
      <c r="H28" s="28"/>
      <c r="I28" s="28"/>
      <c r="J28" s="17"/>
    </row>
    <row r="29" spans="1:10" ht="24" customHeight="1" x14ac:dyDescent="0.3">
      <c r="A29" s="17"/>
      <c r="B29" s="18">
        <v>20</v>
      </c>
      <c r="C29" s="28"/>
      <c r="D29" s="28"/>
      <c r="E29" s="29"/>
      <c r="F29" s="28"/>
      <c r="G29" s="27"/>
      <c r="H29" s="28"/>
      <c r="I29" s="28"/>
      <c r="J29" s="17"/>
    </row>
    <row r="30" spans="1:10" ht="24" customHeight="1" x14ac:dyDescent="0.3">
      <c r="A30" s="17"/>
      <c r="B30" s="18">
        <v>21</v>
      </c>
      <c r="C30" s="28"/>
      <c r="D30" s="28"/>
      <c r="E30" s="29"/>
      <c r="F30" s="28"/>
      <c r="G30" s="27"/>
      <c r="H30" s="28"/>
      <c r="I30" s="28"/>
      <c r="J30" s="17"/>
    </row>
    <row r="31" spans="1:10" ht="24" customHeight="1" x14ac:dyDescent="0.3">
      <c r="A31" s="17"/>
      <c r="B31" s="18">
        <v>22</v>
      </c>
      <c r="C31" s="28"/>
      <c r="D31" s="28"/>
      <c r="E31" s="29"/>
      <c r="F31" s="28"/>
      <c r="G31" s="27"/>
      <c r="H31" s="28"/>
      <c r="I31" s="28"/>
      <c r="J31" s="17"/>
    </row>
    <row r="32" spans="1:10" ht="24" customHeight="1" x14ac:dyDescent="0.3">
      <c r="A32" s="17"/>
      <c r="B32" s="18">
        <v>23</v>
      </c>
      <c r="C32" s="28"/>
      <c r="D32" s="28"/>
      <c r="E32" s="29"/>
      <c r="F32" s="28"/>
      <c r="G32" s="27"/>
      <c r="H32" s="28"/>
      <c r="I32" s="28"/>
      <c r="J32" s="17"/>
    </row>
    <row r="33" spans="1:10" ht="24" customHeight="1" x14ac:dyDescent="0.3">
      <c r="A33" s="17"/>
      <c r="B33" s="18">
        <v>24</v>
      </c>
      <c r="C33" s="28"/>
      <c r="D33" s="28"/>
      <c r="E33" s="29"/>
      <c r="F33" s="28"/>
      <c r="G33" s="27"/>
      <c r="H33" s="28"/>
      <c r="I33" s="28"/>
      <c r="J33" s="17"/>
    </row>
    <row r="34" spans="1:10" ht="24" customHeight="1" x14ac:dyDescent="0.3">
      <c r="A34" s="17"/>
      <c r="B34" s="18">
        <v>25</v>
      </c>
      <c r="C34" s="28"/>
      <c r="D34" s="28"/>
      <c r="E34" s="29"/>
      <c r="F34" s="28"/>
      <c r="G34" s="27"/>
      <c r="H34" s="28"/>
      <c r="I34" s="28"/>
      <c r="J34" s="17"/>
    </row>
    <row r="35" spans="1:10" ht="24" customHeight="1" x14ac:dyDescent="0.3">
      <c r="A35" s="17"/>
      <c r="B35" s="18">
        <v>26</v>
      </c>
      <c r="C35" s="28"/>
      <c r="D35" s="28"/>
      <c r="E35" s="29"/>
      <c r="F35" s="28"/>
      <c r="G35" s="27"/>
      <c r="H35" s="28"/>
      <c r="I35" s="28"/>
      <c r="J35" s="17"/>
    </row>
    <row r="36" spans="1:10" ht="24" customHeight="1" x14ac:dyDescent="0.3">
      <c r="A36" s="17"/>
      <c r="B36" s="18">
        <v>27</v>
      </c>
      <c r="C36" s="28"/>
      <c r="D36" s="28"/>
      <c r="E36" s="29"/>
      <c r="F36" s="28"/>
      <c r="G36" s="27"/>
      <c r="H36" s="28"/>
      <c r="I36" s="28"/>
      <c r="J36" s="17"/>
    </row>
    <row r="37" spans="1:10" ht="24" customHeight="1" x14ac:dyDescent="0.3">
      <c r="A37" s="17"/>
      <c r="B37" s="18">
        <v>28</v>
      </c>
      <c r="C37" s="28"/>
      <c r="D37" s="28"/>
      <c r="E37" s="29"/>
      <c r="F37" s="28"/>
      <c r="G37" s="27"/>
      <c r="H37" s="28"/>
      <c r="I37" s="28"/>
      <c r="J37" s="17"/>
    </row>
    <row r="38" spans="1:10" ht="24" customHeight="1" x14ac:dyDescent="0.3">
      <c r="A38" s="17"/>
      <c r="B38" s="18">
        <v>29</v>
      </c>
      <c r="C38" s="28"/>
      <c r="D38" s="28"/>
      <c r="E38" s="29"/>
      <c r="F38" s="28"/>
      <c r="G38" s="27"/>
      <c r="H38" s="28"/>
      <c r="I38" s="28"/>
      <c r="J38" s="17"/>
    </row>
    <row r="39" spans="1:10" ht="24" customHeight="1" x14ac:dyDescent="0.3">
      <c r="A39" s="17"/>
      <c r="B39" s="18">
        <v>30</v>
      </c>
      <c r="C39" s="28"/>
      <c r="D39" s="28"/>
      <c r="E39" s="29"/>
      <c r="F39" s="28"/>
      <c r="G39" s="27"/>
      <c r="H39" s="28"/>
      <c r="I39" s="28"/>
      <c r="J39" s="17"/>
    </row>
    <row r="41" spans="1:10" ht="9.75" customHeight="1" x14ac:dyDescent="0.3">
      <c r="A41" s="36"/>
      <c r="B41" s="36"/>
      <c r="C41" s="36"/>
      <c r="D41" s="36"/>
      <c r="E41" s="36"/>
      <c r="F41" s="36"/>
      <c r="G41" s="36"/>
      <c r="H41" s="36"/>
      <c r="I41" s="36"/>
      <c r="J41" s="36"/>
    </row>
    <row r="42" spans="1:10" ht="21.75" customHeight="1" x14ac:dyDescent="0.3">
      <c r="B42" s="37" t="s">
        <v>29</v>
      </c>
      <c r="C42" s="37"/>
      <c r="D42" s="37"/>
      <c r="E42" s="37"/>
      <c r="F42" s="37"/>
      <c r="G42" s="37"/>
      <c r="H42" s="37"/>
      <c r="I42" s="37"/>
    </row>
  </sheetData>
  <mergeCells count="9">
    <mergeCell ref="A7:J7"/>
    <mergeCell ref="A9:J9"/>
    <mergeCell ref="A41:J41"/>
    <mergeCell ref="B42:I42"/>
    <mergeCell ref="A1:J1"/>
    <mergeCell ref="A2:J2"/>
    <mergeCell ref="A3:J3"/>
    <mergeCell ref="A4:J4"/>
    <mergeCell ref="A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showGridLines="0" zoomScaleNormal="100" workbookViewId="0">
      <selection activeCell="B8" sqref="B8"/>
    </sheetView>
  </sheetViews>
  <sheetFormatPr defaultColWidth="8.6640625" defaultRowHeight="14.4" x14ac:dyDescent="0.3"/>
  <cols>
    <col min="1" max="1" width="4" customWidth="1"/>
    <col min="2" max="2" width="23.33203125" bestFit="1" customWidth="1"/>
    <col min="3" max="3" width="12" customWidth="1"/>
    <col min="4" max="4" width="8" customWidth="1"/>
    <col min="5" max="5" width="22" customWidth="1"/>
    <col min="6" max="6" width="16" customWidth="1"/>
    <col min="7" max="7" width="18" customWidth="1"/>
    <col min="8" max="8" width="14" customWidth="1"/>
    <col min="9" max="9" width="4" customWidth="1"/>
  </cols>
  <sheetData>
    <row r="1" spans="1:9" ht="13.5" customHeight="1" x14ac:dyDescent="0.3">
      <c r="A1" s="38"/>
      <c r="B1" s="38"/>
      <c r="C1" s="38"/>
      <c r="D1" s="38"/>
      <c r="E1" s="38"/>
      <c r="F1" s="38"/>
      <c r="G1" s="38"/>
      <c r="H1" s="38"/>
      <c r="I1" s="38"/>
    </row>
    <row r="2" spans="1:9" ht="43.5" customHeight="1" x14ac:dyDescent="0.3">
      <c r="A2" s="42" t="s">
        <v>1</v>
      </c>
      <c r="B2" s="42"/>
      <c r="C2" s="42"/>
      <c r="D2" s="42"/>
      <c r="E2" s="42"/>
      <c r="F2" s="42"/>
      <c r="G2" s="42"/>
      <c r="H2" s="42"/>
      <c r="I2" s="42"/>
    </row>
    <row r="3" spans="1:9" ht="13.5" customHeight="1" x14ac:dyDescent="0.3">
      <c r="A3" s="40"/>
      <c r="B3" s="40"/>
      <c r="C3" s="40"/>
      <c r="D3" s="40"/>
      <c r="E3" s="40"/>
      <c r="F3" s="40"/>
      <c r="G3" s="40"/>
      <c r="H3" s="40"/>
      <c r="I3" s="40"/>
    </row>
    <row r="4" spans="1:9" ht="30" customHeight="1" x14ac:dyDescent="0.3">
      <c r="A4" s="1"/>
      <c r="B4" s="1" t="s">
        <v>2</v>
      </c>
      <c r="C4" s="1" t="s">
        <v>3</v>
      </c>
      <c r="D4" s="1" t="s">
        <v>0</v>
      </c>
      <c r="E4" s="1" t="s">
        <v>4</v>
      </c>
      <c r="F4" s="1" t="s">
        <v>5</v>
      </c>
      <c r="G4" s="1" t="s">
        <v>6</v>
      </c>
      <c r="H4" s="1" t="s">
        <v>7</v>
      </c>
      <c r="I4" s="1"/>
    </row>
    <row r="5" spans="1:9" ht="24" customHeight="1" x14ac:dyDescent="0.3">
      <c r="A5" s="2"/>
      <c r="B5" s="3" t="str">
        <f>UPPER(LEFT(SUBSTITUTE(F5," ",""),3))&amp;"-"&amp;TEXT(C5,"0000")&amp;"-"&amp;TEXT(D5,"0000")&amp;"-"&amp;UPPER(LEFT(SUBSTITUTE(E5," ",""),4))</f>
        <v>POR-2026-0002-SSYS</v>
      </c>
      <c r="C5" s="4">
        <v>2026</v>
      </c>
      <c r="D5" s="4">
        <v>2</v>
      </c>
      <c r="E5" s="4" t="s">
        <v>41</v>
      </c>
      <c r="F5" s="4" t="s">
        <v>30</v>
      </c>
      <c r="G5" s="4" t="s">
        <v>31</v>
      </c>
      <c r="H5" s="4" t="s">
        <v>32</v>
      </c>
      <c r="I5" s="2"/>
    </row>
    <row r="6" spans="1:9" ht="24" customHeight="1" x14ac:dyDescent="0.3">
      <c r="A6" s="2"/>
      <c r="B6" s="3" t="str">
        <f t="shared" ref="B6:B13" si="0">UPPER(LEFT(SUBSTITUTE(F6," ",""),3))&amp;"-"&amp;TEXT(C6,"0000")&amp;"-"&amp;TEXT(D6,"0000")&amp;"-"&amp;UPPER(LEFT(SUBSTITUTE(E6," ",""),4))</f>
        <v>SAO-2026-0003-ESPL</v>
      </c>
      <c r="C6" s="5">
        <v>2026</v>
      </c>
      <c r="D6" s="5">
        <v>3</v>
      </c>
      <c r="E6" s="32" t="s">
        <v>37</v>
      </c>
      <c r="F6" s="32" t="s">
        <v>38</v>
      </c>
      <c r="G6" s="32" t="s">
        <v>39</v>
      </c>
      <c r="H6" s="32" t="s">
        <v>32</v>
      </c>
      <c r="I6" s="2"/>
    </row>
    <row r="7" spans="1:9" ht="24" customHeight="1" x14ac:dyDescent="0.3">
      <c r="A7" s="2"/>
      <c r="B7" s="3" t="str">
        <f t="shared" si="0"/>
        <v>POR-2025-0001-PASS</v>
      </c>
      <c r="C7" s="4">
        <v>2025</v>
      </c>
      <c r="D7" s="4">
        <v>1</v>
      </c>
      <c r="E7" s="33" t="s">
        <v>45</v>
      </c>
      <c r="F7" s="4" t="s">
        <v>30</v>
      </c>
      <c r="G7" s="4" t="s">
        <v>44</v>
      </c>
      <c r="H7" s="4" t="s">
        <v>32</v>
      </c>
      <c r="I7" s="2"/>
    </row>
    <row r="8" spans="1:9" ht="24" customHeight="1" x14ac:dyDescent="0.3">
      <c r="A8" s="2"/>
      <c r="B8" s="3" t="str">
        <f t="shared" si="0"/>
        <v>POR-2026-0004-ESPL</v>
      </c>
      <c r="C8" s="5">
        <v>2026</v>
      </c>
      <c r="D8" s="5">
        <v>4</v>
      </c>
      <c r="E8" s="5" t="s">
        <v>37</v>
      </c>
      <c r="F8" s="5" t="s">
        <v>30</v>
      </c>
      <c r="G8" s="5" t="s">
        <v>54</v>
      </c>
      <c r="H8" s="5" t="s">
        <v>32</v>
      </c>
      <c r="I8" s="2"/>
    </row>
    <row r="9" spans="1:9" ht="24" customHeight="1" x14ac:dyDescent="0.3">
      <c r="A9" s="2"/>
      <c r="B9" s="3" t="str">
        <f t="shared" si="0"/>
        <v>-0000-0000-</v>
      </c>
      <c r="C9" s="4"/>
      <c r="D9" s="4"/>
      <c r="E9" s="4"/>
      <c r="F9" s="4"/>
      <c r="G9" s="4"/>
      <c r="H9" s="4"/>
      <c r="I9" s="2"/>
    </row>
    <row r="10" spans="1:9" ht="24" customHeight="1" x14ac:dyDescent="0.3">
      <c r="A10" s="6"/>
      <c r="B10" s="3" t="str">
        <f t="shared" si="0"/>
        <v>-0000-0000-</v>
      </c>
      <c r="C10" s="8"/>
      <c r="D10" s="8"/>
      <c r="E10" s="8"/>
      <c r="F10" s="8"/>
      <c r="G10" s="8"/>
      <c r="H10" s="8"/>
      <c r="I10" s="6"/>
    </row>
    <row r="11" spans="1:9" ht="24" customHeight="1" x14ac:dyDescent="0.3">
      <c r="A11" s="6"/>
      <c r="B11" s="3" t="str">
        <f t="shared" si="0"/>
        <v>-0000-0000-</v>
      </c>
      <c r="C11" s="8"/>
      <c r="D11" s="8"/>
      <c r="E11" s="8"/>
      <c r="F11" s="8"/>
      <c r="G11" s="8"/>
      <c r="H11" s="8"/>
      <c r="I11" s="6"/>
    </row>
    <row r="12" spans="1:9" ht="24" customHeight="1" x14ac:dyDescent="0.3">
      <c r="A12" s="6"/>
      <c r="B12" s="3" t="str">
        <f t="shared" si="0"/>
        <v>-0000-0000-</v>
      </c>
      <c r="C12" s="8"/>
      <c r="D12" s="8"/>
      <c r="E12" s="8"/>
      <c r="F12" s="8"/>
      <c r="G12" s="8"/>
      <c r="H12" s="8"/>
      <c r="I12" s="6"/>
    </row>
    <row r="13" spans="1:9" ht="24" customHeight="1" x14ac:dyDescent="0.3">
      <c r="A13" s="6"/>
      <c r="B13" s="3" t="str">
        <f t="shared" si="0"/>
        <v>-0000-0000-</v>
      </c>
      <c r="C13" s="8"/>
      <c r="D13" s="8"/>
      <c r="E13" s="8"/>
      <c r="F13" s="8"/>
      <c r="G13" s="8"/>
      <c r="H13" s="8"/>
      <c r="I13" s="6"/>
    </row>
    <row r="14" spans="1:9" ht="24" customHeight="1" x14ac:dyDescent="0.3">
      <c r="A14" s="6"/>
      <c r="B14" s="7" t="str">
        <f>IF(C14="","",UPPER(LEFT(SUBSTITUTE(F14," ",""),3))&amp;"-"&amp;TEXT(C14,"0000")&amp;"-"&amp;TEXT(D14,"0000")&amp;"-"&amp;UPPER(LEFT(SUBSTITUTE(E14," ",""),4)))</f>
        <v/>
      </c>
      <c r="C14" s="8"/>
      <c r="D14" s="8"/>
      <c r="E14" s="8"/>
      <c r="F14" s="8"/>
      <c r="G14" s="8"/>
      <c r="H14" s="8"/>
      <c r="I14" s="6"/>
    </row>
    <row r="16" spans="1:9" ht="19.5" customHeight="1" x14ac:dyDescent="0.3">
      <c r="B16" s="43" t="s">
        <v>8</v>
      </c>
      <c r="C16" s="43"/>
      <c r="D16" s="43"/>
      <c r="E16" s="43"/>
      <c r="F16" s="43"/>
      <c r="G16" s="43"/>
      <c r="H16" s="43"/>
    </row>
  </sheetData>
  <mergeCells count="4">
    <mergeCell ref="A1:I1"/>
    <mergeCell ref="A2:I2"/>
    <mergeCell ref="A3:I3"/>
    <mergeCell ref="B16:H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📦 Entregáveis</vt:lpstr>
      <vt:lpstr>📋 Registo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João Castro</cp:lastModifiedBy>
  <cp:revision>0</cp:revision>
  <dcterms:created xsi:type="dcterms:W3CDTF">2026-04-17T17:32:42Z</dcterms:created>
  <dcterms:modified xsi:type="dcterms:W3CDTF">2026-09-01T20:33:48Z</dcterms:modified>
  <dc:language>en-US</dc:language>
</cp:coreProperties>
</file>