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astr\MINDSET\DRIVE\3. Operações\3.1 Projetos\26003 - CAFE TRINDADE 1961 (São João da Madeira)\Peças escritas\"/>
    </mc:Choice>
  </mc:AlternateContent>
  <xr:revisionPtr revIDLastSave="0" documentId="13_ncr:1_{B04ED7A0-8EF8-4936-8C79-2714C256743A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Proposta" sheetId="1" r:id="rId1"/>
  </sheets>
  <definedNames>
    <definedName name="_xlnm.Print_Area" localSheetId="0">Proposta!$A$1:$G$63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4" i="1" l="1"/>
  <c r="E24" i="1" s="1"/>
  <c r="F24" i="1" s="1"/>
  <c r="D12" i="1" l="1"/>
  <c r="D21" i="1"/>
  <c r="E21" i="1" l="1"/>
  <c r="F21" i="1" s="1"/>
  <c r="D18" i="1"/>
  <c r="E18" i="1" s="1"/>
  <c r="F18" i="1" s="1"/>
  <c r="D15" i="1"/>
  <c r="E15" i="1" s="1"/>
  <c r="F15" i="1" s="1"/>
  <c r="E12" i="1"/>
  <c r="F12" i="1" s="1"/>
  <c r="F59" i="1" s="1"/>
</calcChain>
</file>

<file path=xl/sharedStrings.xml><?xml version="1.0" encoding="utf-8"?>
<sst xmlns="http://schemas.openxmlformats.org/spreadsheetml/2006/main" count="35" uniqueCount="35">
  <si>
    <t>A confirmar</t>
  </si>
  <si>
    <t>DESIGNAÇÃO / DESCRIÇÃO</t>
  </si>
  <si>
    <t>PREÇO/UN (€)</t>
  </si>
  <si>
    <t>SUB-TOTAL (€)</t>
  </si>
  <si>
    <t>TOTAL (€)</t>
  </si>
  <si>
    <t>1º</t>
  </si>
  <si>
    <t>MINDSET soundsystem</t>
  </si>
  <si>
    <t>CLIENTE:</t>
  </si>
  <si>
    <t>NIF:</t>
  </si>
  <si>
    <t>CONDIÇÕES PAGAMENTO:</t>
  </si>
  <si>
    <t>mind7sound@outllook.com</t>
  </si>
  <si>
    <t xml:space="preserve">PROPOSTA: </t>
  </si>
  <si>
    <t>DATA:</t>
  </si>
  <si>
    <t>VALIDADE:</t>
  </si>
  <si>
    <t>PRAZO ENTREGA:</t>
  </si>
  <si>
    <t>QUANTIDADE</t>
  </si>
  <si>
    <t>1 de 1</t>
  </si>
  <si>
    <t>PAGINAS</t>
  </si>
  <si>
    <t>TOTAL S/ IVA</t>
  </si>
  <si>
    <t>Mão de obra especializada</t>
  </si>
  <si>
    <t>Audibax Dayton 300</t>
  </si>
  <si>
    <t>Amplificador de potência Class AB, 2×150W RMS @ 4Ω</t>
  </si>
  <si>
    <t>BSAP100</t>
  </si>
  <si>
    <t>Cabo paralelo bobine — 100m</t>
  </si>
  <si>
    <t xml:space="preserve">Café Trindade 1961 </t>
  </si>
  <si>
    <t>Audibax Pro Fiji 6  (Par)</t>
  </si>
  <si>
    <t>NOTAS: Deslocações a decidir. Preços por unidade apresentados não incluem IVA.Orçamento sujeito a revisões.</t>
  </si>
  <si>
    <t>Até aprovação do cliente</t>
  </si>
  <si>
    <t>Pago na encomenda</t>
  </si>
  <si>
    <t>PROPOSTA DE FORNECIMENTO (MAIS CARO)</t>
  </si>
  <si>
    <t>Tubo VD20</t>
  </si>
  <si>
    <t>Tubo rigido c/ acessórios</t>
  </si>
  <si>
    <t xml:space="preserve"> </t>
  </si>
  <si>
    <t>Mao de obra especializada, prazo de entrega: 1 dia.</t>
  </si>
  <si>
    <t>Coluna passiva 15cm 2 Vías 50W RMS c/ suporte de parede e IP65 (preto ou branco)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</si>
</sst>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&quot; €&quot;"/>
    <numFmt numFmtId="165" formatCode="0.0%"/>
  </numFmts>
  <fonts count="20" x14ac:knownFonts="1">
    <font>
      <sz val="11"/>
      <color theme="1"/>
      <name val="Calibri"/>
      <family val="2"/>
      <charset val="1"/>
    </font>
    <font>
      <sz val="14"/>
      <color rgb="FFFFFFFF"/>
      <name val="Arial"/>
      <charset val="1"/>
    </font>
    <font>
      <b/>
      <sz val="9"/>
      <color rgb="FFFFFFFF"/>
      <name val="Arial"/>
      <charset val="1"/>
    </font>
    <font>
      <b/>
      <sz val="10"/>
      <color rgb="FF1A1A1A"/>
      <name val="Arial"/>
      <charset val="1"/>
    </font>
    <font>
      <b/>
      <sz val="9"/>
      <color rgb="FF1A1A1A"/>
      <name val="Arial"/>
      <charset val="1"/>
    </font>
    <font>
      <sz val="9"/>
      <color rgb="FF0000FF"/>
      <name val="Arial"/>
      <charset val="1"/>
    </font>
    <font>
      <sz val="9"/>
      <color rgb="FF1A1A1A"/>
      <name val="Arial"/>
      <charset val="1"/>
    </font>
    <font>
      <b/>
      <sz val="8"/>
      <color rgb="FF888888"/>
      <name val="Arial"/>
      <family val="2"/>
    </font>
    <font>
      <i/>
      <sz val="8"/>
      <color rgb="FFFF0000"/>
      <name val="Arial"/>
      <family val="2"/>
    </font>
    <font>
      <b/>
      <sz val="11"/>
      <color theme="0"/>
      <name val="Arial"/>
      <family val="2"/>
    </font>
    <font>
      <b/>
      <sz val="13"/>
      <color theme="0"/>
      <name val="Arial"/>
      <family val="2"/>
    </font>
    <font>
      <b/>
      <sz val="9"/>
      <color theme="0" tint="-0.34998626667073579"/>
      <name val="Arial"/>
      <family val="2"/>
    </font>
    <font>
      <b/>
      <sz val="8"/>
      <color rgb="FF1A1A1A"/>
      <name val="Arial"/>
      <family val="2"/>
    </font>
    <font>
      <b/>
      <sz val="9"/>
      <color rgb="FFFFFFFF"/>
      <name val="Arial"/>
      <family val="2"/>
    </font>
    <font>
      <i/>
      <sz val="7"/>
      <color rgb="FF888888"/>
      <name val="Arial"/>
      <family val="2"/>
    </font>
    <font>
      <b/>
      <sz val="8"/>
      <color theme="0"/>
      <name val="Arial"/>
      <family val="2"/>
    </font>
    <font>
      <b/>
      <sz val="11"/>
      <color rgb="FFE8B800"/>
      <name val="Arial"/>
      <charset val="1"/>
    </font>
    <font>
      <b/>
      <sz val="13"/>
      <color rgb="FFE8B800"/>
      <name val="Arial"/>
      <charset val="1"/>
    </font>
    <font>
      <b/>
      <sz val="9"/>
      <color rgb="FF1A1A1A"/>
      <name val="Arial"/>
      <family val="2"/>
    </font>
    <font>
      <sz val="9"/>
      <color rgb="FF0000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9F9F9"/>
      </patternFill>
    </fill>
    <fill>
      <patternFill patternType="solid">
        <fgColor theme="0" tint="-0.249977111117893"/>
        <bgColor rgb="FFFF9900"/>
      </patternFill>
    </fill>
    <fill>
      <patternFill patternType="solid">
        <fgColor theme="0" tint="-0.14999847407452621"/>
        <bgColor rgb="FFF5F5F5"/>
      </patternFill>
    </fill>
    <fill>
      <patternFill patternType="solid">
        <fgColor theme="1" tint="0.14999847407452621"/>
        <bgColor rgb="FF333300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4" xfId="0" applyBorder="1"/>
    <xf numFmtId="0" fontId="0" fillId="0" borderId="5" xfId="0" applyBorder="1"/>
    <xf numFmtId="0" fontId="0" fillId="3" borderId="4" xfId="0" applyFill="1" applyBorder="1"/>
    <xf numFmtId="0" fontId="0" fillId="3" borderId="0" xfId="0" applyFill="1"/>
    <xf numFmtId="0" fontId="0" fillId="3" borderId="5" xfId="0" applyFill="1" applyBorder="1"/>
    <xf numFmtId="0" fontId="4" fillId="2" borderId="0" xfId="0" applyFont="1" applyFill="1" applyAlignment="1">
      <alignment vertical="center"/>
    </xf>
    <xf numFmtId="4" fontId="5" fillId="2" borderId="0" xfId="0" applyNumberFormat="1" applyFont="1" applyFill="1" applyAlignment="1">
      <alignment horizontal="right" vertical="center"/>
    </xf>
    <xf numFmtId="4" fontId="6" fillId="2" borderId="0" xfId="0" applyNumberFormat="1" applyFont="1" applyFill="1" applyAlignment="1">
      <alignment horizontal="right" vertical="center"/>
    </xf>
    <xf numFmtId="0" fontId="0" fillId="2" borderId="0" xfId="0" applyFill="1"/>
    <xf numFmtId="0" fontId="0" fillId="2" borderId="5" xfId="0" applyFill="1" applyBorder="1"/>
    <xf numFmtId="4" fontId="4" fillId="4" borderId="9" xfId="0" applyNumberFormat="1" applyFont="1" applyFill="1" applyBorder="1" applyAlignment="1">
      <alignment horizontal="right" vertical="center"/>
    </xf>
    <xf numFmtId="0" fontId="7" fillId="0" borderId="10" xfId="0" applyFont="1" applyBorder="1" applyAlignment="1">
      <alignment vertical="center"/>
    </xf>
    <xf numFmtId="0" fontId="12" fillId="0" borderId="10" xfId="0" applyFont="1" applyBorder="1" applyAlignment="1">
      <alignment horizontal="left" vertical="center"/>
    </xf>
    <xf numFmtId="0" fontId="0" fillId="0" borderId="10" xfId="0" applyBorder="1"/>
    <xf numFmtId="0" fontId="7" fillId="0" borderId="10" xfId="0" applyFont="1" applyBorder="1" applyAlignment="1">
      <alignment horizontal="left" vertical="center"/>
    </xf>
    <xf numFmtId="0" fontId="7" fillId="0" borderId="11" xfId="0" applyFont="1" applyBorder="1" applyAlignment="1">
      <alignment vertical="center"/>
    </xf>
    <xf numFmtId="14" fontId="12" fillId="0" borderId="11" xfId="0" applyNumberFormat="1" applyFont="1" applyBorder="1" applyAlignment="1">
      <alignment horizontal="left" vertical="center"/>
    </xf>
    <xf numFmtId="0" fontId="0" fillId="0" borderId="11" xfId="0" applyBorder="1"/>
    <xf numFmtId="0" fontId="7" fillId="0" borderId="11" xfId="0" applyFont="1" applyBorder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12" fillId="0" borderId="11" xfId="0" applyFont="1" applyBorder="1" applyAlignment="1">
      <alignment horizontal="left" vertical="center" wrapText="1"/>
    </xf>
    <xf numFmtId="16" fontId="12" fillId="0" borderId="11" xfId="0" applyNumberFormat="1" applyFont="1" applyBorder="1" applyAlignment="1">
      <alignment horizontal="left" vertical="center" wrapText="1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2" borderId="10" xfId="0" applyFill="1" applyBorder="1"/>
    <xf numFmtId="0" fontId="0" fillId="2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14" fillId="2" borderId="10" xfId="0" applyFont="1" applyFill="1" applyBorder="1" applyAlignment="1">
      <alignment vertical="center"/>
    </xf>
    <xf numFmtId="0" fontId="0" fillId="5" borderId="1" xfId="0" applyFill="1" applyBorder="1"/>
    <xf numFmtId="0" fontId="1" fillId="5" borderId="2" xfId="0" applyFont="1" applyFill="1" applyBorder="1" applyAlignment="1">
      <alignment vertical="center"/>
    </xf>
    <xf numFmtId="0" fontId="0" fillId="5" borderId="2" xfId="0" applyFill="1" applyBorder="1"/>
    <xf numFmtId="0" fontId="0" fillId="5" borderId="3" xfId="0" applyFill="1" applyBorder="1"/>
    <xf numFmtId="0" fontId="13" fillId="5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left" vertical="center"/>
    </xf>
    <xf numFmtId="0" fontId="13" fillId="5" borderId="0" xfId="0" applyFont="1" applyFill="1" applyAlignment="1">
      <alignment horizontal="right" vertical="center"/>
    </xf>
    <xf numFmtId="0" fontId="2" fillId="5" borderId="0" xfId="0" applyFont="1" applyFill="1" applyAlignment="1">
      <alignment horizontal="right" vertical="center"/>
    </xf>
    <xf numFmtId="0" fontId="0" fillId="5" borderId="4" xfId="0" applyFill="1" applyBorder="1"/>
    <xf numFmtId="0" fontId="0" fillId="5" borderId="0" xfId="0" applyFill="1"/>
    <xf numFmtId="0" fontId="9" fillId="5" borderId="0" xfId="0" applyFont="1" applyFill="1" applyAlignment="1">
      <alignment horizontal="right" vertical="center"/>
    </xf>
    <xf numFmtId="164" fontId="10" fillId="5" borderId="0" xfId="0" applyNumberFormat="1" applyFont="1" applyFill="1" applyAlignment="1">
      <alignment horizontal="right" vertical="center"/>
    </xf>
    <xf numFmtId="0" fontId="0" fillId="5" borderId="5" xfId="0" applyFill="1" applyBorder="1"/>
    <xf numFmtId="0" fontId="0" fillId="5" borderId="6" xfId="0" applyFill="1" applyBorder="1"/>
    <xf numFmtId="0" fontId="11" fillId="5" borderId="7" xfId="0" applyFont="1" applyFill="1" applyBorder="1" applyAlignment="1">
      <alignment vertical="center"/>
    </xf>
    <xf numFmtId="0" fontId="0" fillId="5" borderId="7" xfId="0" applyFill="1" applyBorder="1"/>
    <xf numFmtId="0" fontId="0" fillId="5" borderId="8" xfId="0" applyFill="1" applyBorder="1"/>
    <xf numFmtId="165" fontId="0" fillId="0" borderId="0" xfId="0" applyNumberFormat="1"/>
    <xf numFmtId="0" fontId="3" fillId="2" borderId="15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16" fillId="0" borderId="0" xfId="0" applyFont="1" applyAlignment="1">
      <alignment horizontal="right" vertical="center"/>
    </xf>
    <xf numFmtId="164" fontId="17" fillId="0" borderId="0" xfId="0" applyNumberFormat="1" applyFont="1" applyAlignment="1">
      <alignment horizontal="right" vertical="center"/>
    </xf>
    <xf numFmtId="0" fontId="18" fillId="2" borderId="0" xfId="0" applyFont="1" applyFill="1" applyAlignment="1">
      <alignment vertical="center"/>
    </xf>
    <xf numFmtId="4" fontId="19" fillId="0" borderId="0" xfId="0" applyNumberFormat="1" applyFont="1" applyAlignment="1">
      <alignment horizontal="right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15" fillId="5" borderId="2" xfId="0" applyFont="1" applyFill="1" applyBorder="1" applyAlignment="1">
      <alignment horizontal="right" vertical="center"/>
    </xf>
    <xf numFmtId="0" fontId="8" fillId="0" borderId="4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11" fillId="5" borderId="7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9F9F9"/>
      <rgbColor rgb="FFF5F5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E8B8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66265</xdr:colOff>
      <xdr:row>0</xdr:row>
      <xdr:rowOff>1</xdr:rowOff>
    </xdr:from>
    <xdr:to>
      <xdr:col>1</xdr:col>
      <xdr:colOff>722243</xdr:colOff>
      <xdr:row>2</xdr:row>
      <xdr:rowOff>72884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92DF922-0BD1-11CE-AE6A-589665495F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265" y="1"/>
          <a:ext cx="862166" cy="8528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63"/>
  <sheetViews>
    <sheetView showGridLines="0" tabSelected="1" view="pageBreakPreview" zoomScale="115" zoomScaleNormal="115" zoomScaleSheetLayoutView="115" zoomScalePageLayoutView="85" workbookViewId="0">
      <selection activeCell="D7" sqref="D7"/>
    </sheetView>
  </sheetViews>
  <sheetFormatPr defaultColWidth="8.6640625" defaultRowHeight="14.4" x14ac:dyDescent="0.3"/>
  <cols>
    <col min="1" max="1" width="3" customWidth="1"/>
    <col min="2" max="2" width="15.77734375" customWidth="1"/>
    <col min="3" max="3" width="38" customWidth="1"/>
    <col min="4" max="4" width="14.6640625" bestFit="1" customWidth="1"/>
    <col min="5" max="5" width="19.77734375" customWidth="1"/>
    <col min="6" max="6" width="15.5546875" customWidth="1"/>
    <col min="7" max="7" width="3" customWidth="1"/>
  </cols>
  <sheetData>
    <row r="1" spans="1:9" ht="7.5" customHeight="1" thickBot="1" x14ac:dyDescent="0.35"/>
    <row r="2" spans="1:9" ht="54.75" customHeight="1" x14ac:dyDescent="0.3">
      <c r="A2" s="34"/>
      <c r="B2" s="35"/>
      <c r="C2" s="35"/>
      <c r="D2" s="36"/>
      <c r="E2" s="61" t="s">
        <v>29</v>
      </c>
      <c r="F2" s="61"/>
      <c r="G2" s="37"/>
    </row>
    <row r="3" spans="1:9" ht="7.5" customHeight="1" x14ac:dyDescent="0.3">
      <c r="A3" s="1"/>
      <c r="G3" s="2"/>
    </row>
    <row r="4" spans="1:9" ht="18" customHeight="1" x14ac:dyDescent="0.3">
      <c r="A4" s="1"/>
      <c r="B4" s="12" t="s">
        <v>11</v>
      </c>
      <c r="C4" s="13" t="s">
        <v>5</v>
      </c>
      <c r="D4" s="14"/>
      <c r="E4" s="15" t="s">
        <v>7</v>
      </c>
      <c r="F4" s="13" t="s">
        <v>24</v>
      </c>
      <c r="G4" s="2"/>
    </row>
    <row r="5" spans="1:9" ht="18" customHeight="1" x14ac:dyDescent="0.3">
      <c r="A5" s="1"/>
      <c r="B5" s="16" t="s">
        <v>12</v>
      </c>
      <c r="C5" s="17">
        <v>46152</v>
      </c>
      <c r="D5" s="18"/>
      <c r="E5" s="19" t="s">
        <v>8</v>
      </c>
      <c r="F5" s="20"/>
      <c r="G5" s="2"/>
    </row>
    <row r="6" spans="1:9" ht="24" customHeight="1" x14ac:dyDescent="0.3">
      <c r="A6" s="1"/>
      <c r="B6" s="16" t="s">
        <v>13</v>
      </c>
      <c r="C6" s="20" t="s">
        <v>27</v>
      </c>
      <c r="D6" s="18"/>
      <c r="E6" s="19" t="s">
        <v>9</v>
      </c>
      <c r="F6" s="21" t="s">
        <v>28</v>
      </c>
      <c r="G6" s="2"/>
    </row>
    <row r="7" spans="1:9" ht="18" customHeight="1" x14ac:dyDescent="0.3">
      <c r="A7" s="23"/>
      <c r="B7" s="16" t="s">
        <v>14</v>
      </c>
      <c r="C7" s="20" t="s">
        <v>0</v>
      </c>
      <c r="D7" s="18"/>
      <c r="E7" s="19" t="s">
        <v>17</v>
      </c>
      <c r="F7" s="22" t="s">
        <v>16</v>
      </c>
      <c r="G7" s="24"/>
    </row>
    <row r="8" spans="1:9" ht="3.75" customHeight="1" x14ac:dyDescent="0.3">
      <c r="A8" s="3"/>
      <c r="B8" s="4"/>
      <c r="C8" s="4"/>
      <c r="D8" s="4"/>
      <c r="E8" s="4"/>
      <c r="F8" s="4"/>
      <c r="G8" s="5"/>
    </row>
    <row r="9" spans="1:9" ht="7.5" customHeight="1" x14ac:dyDescent="0.3">
      <c r="A9" s="25"/>
      <c r="B9" s="26"/>
      <c r="C9" s="26"/>
      <c r="D9" s="26"/>
      <c r="E9" s="26"/>
      <c r="F9" s="26"/>
      <c r="G9" s="27"/>
    </row>
    <row r="10" spans="1:9" ht="21.75" customHeight="1" x14ac:dyDescent="0.3">
      <c r="A10" s="1"/>
      <c r="B10" s="38" t="s">
        <v>15</v>
      </c>
      <c r="C10" s="39" t="s">
        <v>1</v>
      </c>
      <c r="D10" s="40" t="s">
        <v>2</v>
      </c>
      <c r="E10" s="41" t="s">
        <v>3</v>
      </c>
      <c r="F10" s="41" t="s">
        <v>4</v>
      </c>
      <c r="G10" s="2"/>
    </row>
    <row r="11" spans="1:9" ht="6" customHeight="1" x14ac:dyDescent="0.3">
      <c r="A11" s="1"/>
      <c r="B11" s="59">
        <v>2</v>
      </c>
      <c r="C11" s="9"/>
      <c r="D11" s="9"/>
      <c r="E11" s="9"/>
      <c r="F11" s="9"/>
      <c r="G11" s="10"/>
    </row>
    <row r="12" spans="1:9" ht="18" customHeight="1" x14ac:dyDescent="0.3">
      <c r="A12" s="1"/>
      <c r="B12" s="59"/>
      <c r="C12" s="6" t="s">
        <v>25</v>
      </c>
      <c r="D12" s="7">
        <f>189*1.3</f>
        <v>245.70000000000002</v>
      </c>
      <c r="E12" s="8">
        <f>B11*D12</f>
        <v>491.40000000000003</v>
      </c>
      <c r="F12" s="11">
        <f>E12</f>
        <v>491.40000000000003</v>
      </c>
      <c r="G12" s="2"/>
      <c r="I12" t="s">
        <v>32</v>
      </c>
    </row>
    <row r="13" spans="1:9" ht="13.5" customHeight="1" x14ac:dyDescent="0.3">
      <c r="A13" s="1"/>
      <c r="B13" s="60"/>
      <c r="C13" s="33" t="s">
        <v>34</v>
      </c>
      <c r="D13" s="28"/>
      <c r="E13" s="28"/>
      <c r="F13" s="28"/>
      <c r="G13" s="2"/>
    </row>
    <row r="14" spans="1:9" ht="6" customHeight="1" x14ac:dyDescent="0.3">
      <c r="A14" s="1"/>
      <c r="B14" s="58">
        <v>1</v>
      </c>
      <c r="C14" s="9"/>
      <c r="D14" s="9"/>
      <c r="E14" s="9"/>
      <c r="F14" s="9"/>
      <c r="G14" s="10"/>
    </row>
    <row r="15" spans="1:9" ht="18" customHeight="1" x14ac:dyDescent="0.3">
      <c r="A15" s="1"/>
      <c r="B15" s="59"/>
      <c r="C15" s="6" t="s">
        <v>20</v>
      </c>
      <c r="D15" s="7">
        <f>115*1.3</f>
        <v>149.5</v>
      </c>
      <c r="E15" s="8">
        <f>B14*D15</f>
        <v>149.5</v>
      </c>
      <c r="F15" s="11">
        <f>E15</f>
        <v>149.5</v>
      </c>
      <c r="G15" s="2"/>
    </row>
    <row r="16" spans="1:9" ht="13.5" customHeight="1" x14ac:dyDescent="0.3">
      <c r="A16" s="1"/>
      <c r="B16" s="60"/>
      <c r="C16" s="33" t="s">
        <v>21</v>
      </c>
      <c r="D16" s="28"/>
      <c r="E16" s="28"/>
      <c r="F16" s="28"/>
      <c r="G16" s="2"/>
    </row>
    <row r="17" spans="1:7" ht="6" customHeight="1" x14ac:dyDescent="0.3">
      <c r="A17" s="1"/>
      <c r="B17" s="58">
        <v>1</v>
      </c>
      <c r="C17" s="9"/>
      <c r="D17" s="9"/>
      <c r="E17" s="9"/>
      <c r="F17" s="9"/>
      <c r="G17" s="10"/>
    </row>
    <row r="18" spans="1:7" ht="18" customHeight="1" x14ac:dyDescent="0.3">
      <c r="A18" s="1"/>
      <c r="B18" s="59"/>
      <c r="C18" s="6" t="s">
        <v>22</v>
      </c>
      <c r="D18" s="7">
        <f>110*1.3</f>
        <v>143</v>
      </c>
      <c r="E18" s="8">
        <f>B17*D18</f>
        <v>143</v>
      </c>
      <c r="F18" s="11">
        <f>E18</f>
        <v>143</v>
      </c>
      <c r="G18" s="2"/>
    </row>
    <row r="19" spans="1:7" ht="13.5" customHeight="1" x14ac:dyDescent="0.3">
      <c r="A19" s="1"/>
      <c r="B19" s="60"/>
      <c r="C19" s="33" t="s">
        <v>23</v>
      </c>
      <c r="D19" s="28"/>
      <c r="E19" s="28"/>
      <c r="F19" s="28"/>
      <c r="G19" s="2"/>
    </row>
    <row r="20" spans="1:7" ht="6" customHeight="1" x14ac:dyDescent="0.3">
      <c r="A20" s="1"/>
      <c r="B20" s="58">
        <v>1</v>
      </c>
      <c r="C20" s="9"/>
      <c r="D20" s="9"/>
      <c r="E20" s="9"/>
      <c r="F20" s="9"/>
      <c r="G20" s="10"/>
    </row>
    <row r="21" spans="1:7" ht="18" customHeight="1" x14ac:dyDescent="0.3">
      <c r="A21" s="1"/>
      <c r="B21" s="59"/>
      <c r="C21" s="6" t="s">
        <v>19</v>
      </c>
      <c r="D21" s="7">
        <f>180*1.3</f>
        <v>234</v>
      </c>
      <c r="E21" s="8">
        <f>B20*D21</f>
        <v>234</v>
      </c>
      <c r="F21" s="11">
        <f>E21</f>
        <v>234</v>
      </c>
      <c r="G21" s="2"/>
    </row>
    <row r="22" spans="1:7" ht="13.5" customHeight="1" x14ac:dyDescent="0.3">
      <c r="A22" s="1"/>
      <c r="B22" s="60"/>
      <c r="C22" s="33" t="s">
        <v>33</v>
      </c>
      <c r="D22" s="28"/>
      <c r="E22" s="28"/>
      <c r="F22" s="28"/>
      <c r="G22" s="2"/>
    </row>
    <row r="23" spans="1:7" ht="6" customHeight="1" x14ac:dyDescent="0.3">
      <c r="A23" s="1"/>
      <c r="B23" s="58">
        <v>1</v>
      </c>
      <c r="C23" s="9"/>
      <c r="D23" s="9"/>
      <c r="E23" s="9"/>
      <c r="F23" s="9"/>
      <c r="G23" s="10"/>
    </row>
    <row r="24" spans="1:7" x14ac:dyDescent="0.3">
      <c r="A24" s="1"/>
      <c r="B24" s="59"/>
      <c r="C24" s="56" t="s">
        <v>30</v>
      </c>
      <c r="D24" s="57">
        <f>61.54*1.3</f>
        <v>80.001999999999995</v>
      </c>
      <c r="E24" s="8">
        <f>D24*B23</f>
        <v>80.001999999999995</v>
      </c>
      <c r="F24" s="11">
        <f>E24</f>
        <v>80.001999999999995</v>
      </c>
      <c r="G24" s="2"/>
    </row>
    <row r="25" spans="1:7" x14ac:dyDescent="0.3">
      <c r="A25" s="1"/>
      <c r="B25" s="60"/>
      <c r="C25" s="33" t="s">
        <v>31</v>
      </c>
      <c r="D25" s="28"/>
      <c r="E25" s="28"/>
      <c r="F25" s="28"/>
      <c r="G25" s="2"/>
    </row>
    <row r="26" spans="1:7" ht="7.5" customHeight="1" x14ac:dyDescent="0.3">
      <c r="A26" s="1"/>
      <c r="B26" s="52"/>
      <c r="C26" s="9"/>
      <c r="D26" s="9"/>
      <c r="E26" s="9"/>
      <c r="F26" s="9"/>
      <c r="G26" s="10"/>
    </row>
    <row r="27" spans="1:7" x14ac:dyDescent="0.3">
      <c r="A27" s="23"/>
      <c r="B27" s="53"/>
      <c r="C27" s="33"/>
      <c r="D27" s="28"/>
      <c r="E27" s="28"/>
      <c r="F27" s="28"/>
      <c r="G27" s="29"/>
    </row>
    <row r="28" spans="1:7" ht="7.5" customHeight="1" x14ac:dyDescent="0.3">
      <c r="A28" s="1"/>
      <c r="D28" s="54"/>
      <c r="F28" s="55"/>
      <c r="G28" s="2"/>
    </row>
    <row r="29" spans="1:7" ht="7.5" customHeight="1" x14ac:dyDescent="0.3">
      <c r="A29" s="1"/>
      <c r="G29" s="2"/>
    </row>
    <row r="30" spans="1:7" ht="7.5" customHeight="1" x14ac:dyDescent="0.3">
      <c r="A30" s="1"/>
      <c r="G30" s="2"/>
    </row>
    <row r="31" spans="1:7" ht="7.5" customHeight="1" x14ac:dyDescent="0.3">
      <c r="A31" s="1"/>
      <c r="G31" s="2"/>
    </row>
    <row r="32" spans="1:7" ht="7.5" customHeight="1" x14ac:dyDescent="0.3">
      <c r="A32" s="1"/>
      <c r="G32" s="2"/>
    </row>
    <row r="33" spans="1:7" ht="7.5" customHeight="1" x14ac:dyDescent="0.3">
      <c r="A33" s="1"/>
      <c r="G33" s="2"/>
    </row>
    <row r="34" spans="1:7" ht="18" customHeight="1" x14ac:dyDescent="0.3">
      <c r="A34" s="1"/>
      <c r="F34" s="51"/>
      <c r="G34" s="2"/>
    </row>
    <row r="35" spans="1:7" ht="7.5" customHeight="1" x14ac:dyDescent="0.3">
      <c r="A35" s="1"/>
      <c r="G35" s="2"/>
    </row>
    <row r="36" spans="1:7" ht="3.75" customHeight="1" x14ac:dyDescent="0.3">
      <c r="A36" s="1"/>
      <c r="G36" s="2"/>
    </row>
    <row r="37" spans="1:7" ht="3.75" customHeight="1" x14ac:dyDescent="0.3">
      <c r="A37" s="1"/>
      <c r="G37" s="2"/>
    </row>
    <row r="38" spans="1:7" ht="3.75" customHeight="1" x14ac:dyDescent="0.3">
      <c r="A38" s="1"/>
      <c r="G38" s="2"/>
    </row>
    <row r="39" spans="1:7" ht="3.75" customHeight="1" x14ac:dyDescent="0.3">
      <c r="A39" s="1"/>
      <c r="G39" s="2"/>
    </row>
    <row r="40" spans="1:7" ht="3.75" customHeight="1" x14ac:dyDescent="0.3">
      <c r="A40" s="1"/>
      <c r="G40" s="2"/>
    </row>
    <row r="41" spans="1:7" ht="3.75" customHeight="1" x14ac:dyDescent="0.3">
      <c r="A41" s="1"/>
      <c r="G41" s="2"/>
    </row>
    <row r="42" spans="1:7" ht="3.75" customHeight="1" x14ac:dyDescent="0.3">
      <c r="A42" s="1"/>
      <c r="G42" s="2"/>
    </row>
    <row r="43" spans="1:7" ht="21.75" customHeight="1" x14ac:dyDescent="0.3">
      <c r="A43" s="1"/>
      <c r="G43" s="2"/>
    </row>
    <row r="44" spans="1:7" ht="67.8" customHeight="1" x14ac:dyDescent="0.3">
      <c r="A44" s="1"/>
      <c r="G44" s="2"/>
    </row>
    <row r="45" spans="1:7" ht="48.6" customHeight="1" x14ac:dyDescent="0.3">
      <c r="A45" s="1"/>
      <c r="G45" s="2"/>
    </row>
    <row r="46" spans="1:7" x14ac:dyDescent="0.3">
      <c r="A46" s="1"/>
      <c r="G46" s="2"/>
    </row>
    <row r="47" spans="1:7" x14ac:dyDescent="0.3">
      <c r="A47" s="1"/>
      <c r="G47" s="2"/>
    </row>
    <row r="48" spans="1:7" x14ac:dyDescent="0.3">
      <c r="A48" s="1"/>
      <c r="G48" s="2"/>
    </row>
    <row r="49" spans="1:7" x14ac:dyDescent="0.3">
      <c r="A49" s="1"/>
      <c r="G49" s="2"/>
    </row>
    <row r="50" spans="1:7" x14ac:dyDescent="0.3">
      <c r="A50" s="1"/>
      <c r="G50" s="2"/>
    </row>
    <row r="51" spans="1:7" x14ac:dyDescent="0.3">
      <c r="A51" s="1"/>
      <c r="G51" s="2"/>
    </row>
    <row r="52" spans="1:7" x14ac:dyDescent="0.3">
      <c r="A52" s="1"/>
      <c r="G52" s="2"/>
    </row>
    <row r="53" spans="1:7" x14ac:dyDescent="0.3">
      <c r="A53" s="1"/>
      <c r="G53" s="2"/>
    </row>
    <row r="54" spans="1:7" x14ac:dyDescent="0.3">
      <c r="A54" s="1"/>
      <c r="G54" s="2"/>
    </row>
    <row r="55" spans="1:7" x14ac:dyDescent="0.3">
      <c r="A55" s="1"/>
      <c r="G55" s="2"/>
    </row>
    <row r="56" spans="1:7" x14ac:dyDescent="0.3">
      <c r="A56" s="1"/>
      <c r="G56" s="2"/>
    </row>
    <row r="57" spans="1:7" x14ac:dyDescent="0.3">
      <c r="A57" s="1"/>
      <c r="G57" s="2"/>
    </row>
    <row r="58" spans="1:7" x14ac:dyDescent="0.3">
      <c r="A58" s="1"/>
      <c r="G58" s="2"/>
    </row>
    <row r="59" spans="1:7" ht="16.8" x14ac:dyDescent="0.3">
      <c r="A59" s="42"/>
      <c r="B59" s="43"/>
      <c r="C59" s="43"/>
      <c r="D59" s="44" t="s">
        <v>18</v>
      </c>
      <c r="E59" s="44"/>
      <c r="F59" s="45">
        <f>F12+F15+F18+F21+F24</f>
        <v>1097.902</v>
      </c>
      <c r="G59" s="46"/>
    </row>
    <row r="60" spans="1:7" x14ac:dyDescent="0.3">
      <c r="A60" s="1"/>
      <c r="G60" s="2"/>
    </row>
    <row r="61" spans="1:7" x14ac:dyDescent="0.3">
      <c r="A61" s="62" t="s">
        <v>26</v>
      </c>
      <c r="B61" s="63"/>
      <c r="C61" s="63"/>
      <c r="D61" s="63"/>
      <c r="E61" s="63"/>
      <c r="F61" s="63"/>
      <c r="G61" s="64"/>
    </row>
    <row r="62" spans="1:7" ht="5.4" customHeight="1" x14ac:dyDescent="0.3">
      <c r="A62" s="30"/>
      <c r="B62" s="31"/>
      <c r="C62" s="31"/>
      <c r="D62" s="31"/>
      <c r="E62" s="31"/>
      <c r="F62" s="31"/>
      <c r="G62" s="32"/>
    </row>
    <row r="63" spans="1:7" ht="15" thickBot="1" x14ac:dyDescent="0.35">
      <c r="A63" s="47"/>
      <c r="B63" s="48" t="s">
        <v>6</v>
      </c>
      <c r="C63" s="49"/>
      <c r="D63" s="65" t="s">
        <v>10</v>
      </c>
      <c r="E63" s="65"/>
      <c r="F63" s="65"/>
      <c r="G63" s="50"/>
    </row>
  </sheetData>
  <mergeCells count="8">
    <mergeCell ref="B23:B25"/>
    <mergeCell ref="E2:F2"/>
    <mergeCell ref="A61:G61"/>
    <mergeCell ref="D63:F63"/>
    <mergeCell ref="B11:B13"/>
    <mergeCell ref="B14:B16"/>
    <mergeCell ref="B17:B19"/>
    <mergeCell ref="B20:B22"/>
  </mergeCells>
  <pageMargins left="0.4" right="0.4" top="0.4" bottom="0.4" header="0.511811023622047" footer="0.511811023622047"/>
  <pageSetup paperSize="9" scale="86" fitToHeight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Proposta</vt:lpstr>
      <vt:lpstr>Proposta!Print_Area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João Miguel Pinto Castro</cp:lastModifiedBy>
  <cp:revision>0</cp:revision>
  <cp:lastPrinted>2026-05-07T17:14:58Z</cp:lastPrinted>
  <dcterms:created xsi:type="dcterms:W3CDTF">2026-04-17T10:27:45Z</dcterms:created>
  <dcterms:modified xsi:type="dcterms:W3CDTF">2026-05-07T17:15:00Z</dcterms:modified>
  <dc:language>en-US</dc:language>
</cp:coreProperties>
</file>