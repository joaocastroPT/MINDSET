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isa\mind7\MINDSET\DRIVE\1. Direção\2. Financeiro\2.2 Contabilidade\Compras propostas\Proposta SoftRoutine - PA JBL\"/>
    </mc:Choice>
  </mc:AlternateContent>
  <xr:revisionPtr revIDLastSave="0" documentId="13_ncr:1_{D1C532E8-E2C3-4A56-8758-87F5725331FB}" xr6:coauthVersionLast="47" xr6:coauthVersionMax="47" xr10:uidLastSave="{00000000-0000-0000-0000-000000000000}"/>
  <bookViews>
    <workbookView xWindow="-96" yWindow="0" windowWidth="11424" windowHeight="13776" xr2:uid="{9FEF305E-DE7E-4357-B4A2-9AE6791F5EA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5" i="1" l="1"/>
  <c r="I9" i="1"/>
  <c r="I10" i="1"/>
  <c r="I11" i="1"/>
  <c r="I12" i="1"/>
  <c r="I13" i="1"/>
  <c r="I14" i="1"/>
  <c r="I8" i="1"/>
  <c r="L9" i="1" s="1"/>
  <c r="L12" i="1" s="1"/>
  <c r="L8" i="1"/>
</calcChain>
</file>

<file path=xl/sharedStrings.xml><?xml version="1.0" encoding="utf-8"?>
<sst xmlns="http://schemas.openxmlformats.org/spreadsheetml/2006/main" count="18" uniqueCount="14">
  <si>
    <t>Rui Alves</t>
  </si>
  <si>
    <t>João Castro</t>
  </si>
  <si>
    <t>José  Silva</t>
  </si>
  <si>
    <t>Rodrigo Capelas</t>
  </si>
  <si>
    <t>Henrique</t>
  </si>
  <si>
    <t>Valor PA</t>
  </si>
  <si>
    <t>Valor Investido</t>
  </si>
  <si>
    <t>Nakamura</t>
  </si>
  <si>
    <t>Mateus</t>
  </si>
  <si>
    <t>Investimento</t>
  </si>
  <si>
    <t>Retorno</t>
  </si>
  <si>
    <t>valor a pagar aos investidores</t>
  </si>
  <si>
    <t>x</t>
  </si>
  <si>
    <t>Inês César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</si>
</sst>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83DE-24BC-430E-B8A4-170A66031777}">
  <dimension ref="G7:L15"/>
  <sheetViews>
    <sheetView tabSelected="1" topLeftCell="F5" workbookViewId="0">
      <selection activeCell="J11" sqref="J11"/>
    </sheetView>
  </sheetViews>
  <sheetFormatPr defaultRowHeight="14.4" x14ac:dyDescent="0.3"/>
  <cols>
    <col min="7" max="7" width="14.109375" bestFit="1" customWidth="1"/>
    <col min="8" max="8" width="11.21875" bestFit="1" customWidth="1"/>
    <col min="10" max="10" width="13.5546875" bestFit="1" customWidth="1"/>
    <col min="11" max="11" width="24.6640625" bestFit="1" customWidth="1"/>
    <col min="12" max="12" width="10.77734375" bestFit="1" customWidth="1"/>
  </cols>
  <sheetData>
    <row r="7" spans="7:12" x14ac:dyDescent="0.3">
      <c r="H7" t="s">
        <v>9</v>
      </c>
      <c r="I7" t="s">
        <v>10</v>
      </c>
      <c r="K7" t="s">
        <v>5</v>
      </c>
      <c r="L7" s="1">
        <v>1585</v>
      </c>
    </row>
    <row r="8" spans="7:12" x14ac:dyDescent="0.3">
      <c r="G8" t="s">
        <v>0</v>
      </c>
      <c r="H8">
        <v>200</v>
      </c>
      <c r="I8">
        <f>H8*1.5</f>
        <v>300</v>
      </c>
      <c r="K8" t="s">
        <v>6</v>
      </c>
      <c r="L8">
        <f>SUM(H8:H16)</f>
        <v>1600</v>
      </c>
    </row>
    <row r="9" spans="7:12" x14ac:dyDescent="0.3">
      <c r="G9" t="s">
        <v>1</v>
      </c>
      <c r="H9">
        <v>200</v>
      </c>
      <c r="I9">
        <f t="shared" ref="I9:I15" si="0">H9*1.5</f>
        <v>300</v>
      </c>
      <c r="K9" t="s">
        <v>11</v>
      </c>
      <c r="L9">
        <f>SUM(I8:I14)</f>
        <v>2250</v>
      </c>
    </row>
    <row r="10" spans="7:12" x14ac:dyDescent="0.3">
      <c r="G10" t="s">
        <v>2</v>
      </c>
      <c r="H10">
        <v>150</v>
      </c>
      <c r="I10">
        <f t="shared" si="0"/>
        <v>225</v>
      </c>
      <c r="J10" t="s">
        <v>12</v>
      </c>
    </row>
    <row r="11" spans="7:12" x14ac:dyDescent="0.3">
      <c r="G11" t="s">
        <v>3</v>
      </c>
      <c r="H11">
        <v>100</v>
      </c>
      <c r="I11">
        <f t="shared" si="0"/>
        <v>150</v>
      </c>
    </row>
    <row r="12" spans="7:12" x14ac:dyDescent="0.3">
      <c r="G12" t="s">
        <v>4</v>
      </c>
      <c r="H12">
        <v>400</v>
      </c>
      <c r="I12">
        <f t="shared" si="0"/>
        <v>600</v>
      </c>
      <c r="J12" t="s">
        <v>12</v>
      </c>
      <c r="L12">
        <f>L9/6</f>
        <v>375</v>
      </c>
    </row>
    <row r="13" spans="7:12" x14ac:dyDescent="0.3">
      <c r="G13" t="s">
        <v>7</v>
      </c>
      <c r="H13">
        <v>350</v>
      </c>
      <c r="I13">
        <f t="shared" si="0"/>
        <v>525</v>
      </c>
      <c r="J13" t="s">
        <v>12</v>
      </c>
    </row>
    <row r="14" spans="7:12" x14ac:dyDescent="0.3">
      <c r="G14" t="s">
        <v>8</v>
      </c>
      <c r="H14">
        <v>100</v>
      </c>
      <c r="I14">
        <f t="shared" si="0"/>
        <v>150</v>
      </c>
      <c r="J14" t="s">
        <v>12</v>
      </c>
    </row>
    <row r="15" spans="7:12" x14ac:dyDescent="0.3">
      <c r="G15" t="s">
        <v>13</v>
      </c>
      <c r="H15">
        <v>100</v>
      </c>
      <c r="I15">
        <f t="shared" si="0"/>
        <v>150</v>
      </c>
      <c r="J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Cesar Salvado Alves</dc:creator>
  <cp:lastModifiedBy>Rui Cesar Salvado Alves</cp:lastModifiedBy>
  <dcterms:created xsi:type="dcterms:W3CDTF">2026-06-27T00:01:29Z</dcterms:created>
  <dcterms:modified xsi:type="dcterms:W3CDTF">2026-07-09T15:58:10Z</dcterms:modified>
</cp:coreProperties>
</file>