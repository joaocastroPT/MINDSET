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isa\mind7\MINDSET\DRIVE\1. Direção\2. Financeiro\2.2 Contabilidade\Compras\Proposta SR - PA JBL\"/>
    </mc:Choice>
  </mc:AlternateContent>
  <xr:revisionPtr revIDLastSave="0" documentId="8_{7C0FB229-C591-43D7-9784-8518AAEB62E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omparação" sheetId="1" r:id="rId1"/>
    <sheet name="Notas e Fon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F9" i="1"/>
  <c r="J8" i="1"/>
  <c r="I8" i="1"/>
  <c r="F8" i="1"/>
  <c r="J7" i="1"/>
  <c r="I7" i="1"/>
  <c r="F7" i="1"/>
  <c r="J6" i="1"/>
  <c r="I6" i="1"/>
  <c r="F6" i="1"/>
  <c r="J5" i="1"/>
  <c r="I5" i="1"/>
  <c r="F5" i="1"/>
  <c r="J12" i="1" l="1"/>
  <c r="H12" i="1"/>
</calcChain>
</file>

<file path=xl/sharedStrings.xml><?xml version="1.0" encoding="utf-8"?>
<sst xmlns="http://schemas.openxmlformats.org/spreadsheetml/2006/main" count="79" uniqueCount="73">
  <si>
    <t>Comparação de Preços — Proposta nº 4619518 (Soft Routine) vs. Mercado (Thomann)</t>
  </si>
  <si>
    <t>Equipamento USADO c/ garantia 1 ano  •  Referência de mercado: Thomann (novo, IVA incl.), consultado em 24/06/2026  •  Valores em EUR</t>
  </si>
  <si>
    <t>#</t>
  </si>
  <si>
    <t>Artigo</t>
  </si>
  <si>
    <t>Estado</t>
  </si>
  <si>
    <t>Qtd</t>
  </si>
  <si>
    <t>Preço unit.
USADO
(proposta)</t>
  </si>
  <si>
    <t>Total linha
(proposta)</t>
  </si>
  <si>
    <t>Preço unit.
"novo" ref.
(proposta)</t>
  </si>
  <si>
    <t>Preço novo
Thomann
(unit.)</t>
  </si>
  <si>
    <t>Poupança vs
novo Thomann
(unit. €)</t>
  </si>
  <si>
    <t>Desconto vs
novo Thomann</t>
  </si>
  <si>
    <t>Fonte / Nota</t>
  </si>
  <si>
    <t>JBL EON 618S — Subwoofer ativo 18"</t>
  </si>
  <si>
    <t>Muito bom</t>
  </si>
  <si>
    <t>618S descontinuado na Thomann; preço é do sucessor EON718S (modelo superior). Usado no mercado ~450–550€.</t>
  </si>
  <si>
    <t>JBL IRX 108BT — Coluna ativa 8" 2 vias</t>
  </si>
  <si>
    <t>Como novo</t>
  </si>
  <si>
    <t>Thomann 369€ (PVPR/UVP 609,27€). Ref. da proposta coincide com o preço novo Thomann.</t>
  </si>
  <si>
    <t>Gravity SP 2332 B — Barra/poste p/ coluna</t>
  </si>
  <si>
    <t>Bom</t>
  </si>
  <si>
    <t>Thomann ~22€ (modelo SP 2332 B). Ref. da proposta coincide.</t>
  </si>
  <si>
    <t>Conjunto de capas de proteção
(2× capa EON618S + 2× capa IRX108BT)</t>
  </si>
  <si>
    <t>Novo</t>
  </si>
  <si>
    <t>Capas Thomann: 2×50€ (EON) + 2×32€ (IRX)=164€. Capas oficiais JBL ainda mais caras (EON 618s CVR ~98€/un).</t>
  </si>
  <si>
    <t>TOTAL ILÍQUIDO (proposta, usado)</t>
  </si>
  <si>
    <t>Soma dos totais de linha da proposta.</t>
  </si>
  <si>
    <t>TOTAL (LOTE) faturado — preço final proposta</t>
  </si>
  <si>
    <t>Valor arredondado da proposta (Total lote).</t>
  </si>
  <si>
    <t>EQUIVALENTE NOVO na Thomann (total)</t>
  </si>
  <si>
    <t>2×990 (EON718S sucessor) + 2×369 + 2×22 + 164 (capas).</t>
  </si>
  <si>
    <t>POUPANÇA do lote vs. novo Thomann</t>
  </si>
  <si>
    <t>Poupança € e % face a comprar tudo novo na Thomann.</t>
  </si>
  <si>
    <t>Leitura rápida</t>
  </si>
  <si>
    <t>• Preço final do lote: 1.450 € por todo o sistema usado (com garantia de 1 ano).</t>
  </si>
  <si>
    <t>• IRX 108BT e barra Gravity: a referência de "novo" da proposta coincide com a Thomann — valores honestos. Em usado fica ~45% (IRX) e ~50% (barra) abaixo do novo.</t>
  </si>
  <si>
    <t>• EON 618S: já não se vende novo na Thomann; o sucessor (EON718S) custa ~990 €/un. O usado a 484,50 €/un equivale a ~metade de um equivalente novo.</t>
  </si>
  <si>
    <t>• Capas: 65 € pelas 4 capas vs. ~164 € em capas Thomann (ou bem mais em capas oficiais JBL) — boa margem.</t>
  </si>
  <si>
    <t>• Conclusão: comparando com o equivalente novo na Thomann (~2.926 €), o lote usado a 1.450 € representa ~50% de poupança. Preço alinhado/competitivo para equipamento em bom estado com garantia.</t>
  </si>
  <si>
    <t>Referências de preço — Thomann (novo, IVA incl.) — 24/06/2026</t>
  </si>
  <si>
    <t>Preço Thomann</t>
  </si>
  <si>
    <t>PVPR / UVP</t>
  </si>
  <si>
    <t>Notas e disponibilidade</t>
  </si>
  <si>
    <t>JBL EON 618S 18"</t>
  </si>
  <si>
    <t>n/d (descont.)</t>
  </si>
  <si>
    <t>—</t>
  </si>
  <si>
    <t>Descontinuado na Thomann. Sucessor: JBL EON718S ~990€. Usado (Reverb/eBay) ~450–550€.</t>
  </si>
  <si>
    <t>JBL EON718S (sucessor) 18"</t>
  </si>
  <si>
    <t>Subwoofer ativo atual de 18" da gama EON (modelo superior ao 618S).</t>
  </si>
  <si>
    <t>JBL IRX 108BT 8"</t>
  </si>
  <si>
    <t>Disponível, em stock. Preço de rua 369€.</t>
  </si>
  <si>
    <t>Gravity SP 2332 B</t>
  </si>
  <si>
    <t>Barra/poste de distância 35mm→M20. Disponível.</t>
  </si>
  <si>
    <t>Capa Thomann p/ EON 618S</t>
  </si>
  <si>
    <t>Capa marca própria Thomann (nylon). Capa oficial JBL EON 618s CVR ~98€.</t>
  </si>
  <si>
    <t>Capa Thomann p/ IRX 108BT</t>
  </si>
  <si>
    <t>Capa marca própria Thomann (serve IRX 108BT/112BT).</t>
  </si>
  <si>
    <t>Metodologia</t>
  </si>
  <si>
    <t>• "Preço novo Thomann" = preço de venda atual na Thomann (Europa), IVA incluído, para o mesmo modelo ou, se descontinuado, o sucessor direto.</t>
  </si>
  <si>
    <t>• "Desconto vs novo Thomann" = 1 − (preço usado da proposta / preço novo Thomann). Mede a poupança face a comprar novo.</t>
  </si>
  <si>
    <t>• Total equivalente novo na Thomann (referência): 2×990 (EON718S) + 2×369 (IRX108BT) + 2×22 (barra) + 164 (4 capas) ≈ 2.926 €.</t>
  </si>
  <si>
    <t>• Preços de equipamento usado variam; os valores de mercado em segunda mão (Reverb/eBay) são indicativos.</t>
  </si>
  <si>
    <t>• Células a AZUL = valores introduzidos (inputs). Células a PRETO = fórmulas/cálculos.</t>
  </si>
  <si>
    <t>Fontes (Thomann)</t>
  </si>
  <si>
    <t>JBL IRX 108 BT</t>
  </si>
  <si>
    <t>https://www.thomann.de/de/jbl_irx_108_bt.htm</t>
  </si>
  <si>
    <t>JBL EON718S (sucessor) / subwoofers ativos</t>
  </si>
  <si>
    <t>https://www.thomann.fi/jbl_aktiivisubbarit.html</t>
  </si>
  <si>
    <t>https://www.thomann.de/de/gravity_sp_2332_b_speaker_stand.htm</t>
  </si>
  <si>
    <t>Capa Thomann EON 618 S</t>
  </si>
  <si>
    <t>https://www.thomann.de/de/thomann_cover_jbl_eon_618_s.htm</t>
  </si>
  <si>
    <t>Capa Thomann IRX 108 BT</t>
  </si>
  <si>
    <t>https://www.thomann.fr/thomann_cover_jbl_irx_108_bt.htm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</si>
</sst>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(#,##0.00&quot; €)&quot;;\-"/>
    <numFmt numFmtId="165" formatCode="0.0%;\(0.0%\);\-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44546A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0"/>
      <color rgb="FF0000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u/>
      <sz val="9"/>
      <color rgb="FF0563C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44546A"/>
      </patternFill>
    </fill>
    <fill>
      <patternFill patternType="solid">
        <fgColor rgb="FFD6E0F0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3" fillId="0" borderId="0" xfId="0" applyFont="1"/>
    <xf numFmtId="0" fontId="4" fillId="0" borderId="0" xfId="0" applyFont="1" applyAlignment="1">
      <alignment horizontal="left" vertical="center" wrapText="1"/>
    </xf>
    <xf numFmtId="0" fontId="12" fillId="7" borderId="0" xfId="0" applyFont="1" applyFill="1"/>
    <xf numFmtId="0" fontId="11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5" fillId="4" borderId="1" xfId="0" applyFont="1" applyFill="1" applyBorder="1"/>
    <xf numFmtId="0" fontId="0" fillId="4" borderId="1" xfId="0" applyFill="1" applyBorder="1"/>
    <xf numFmtId="164" fontId="5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/>
    <xf numFmtId="0" fontId="0" fillId="5" borderId="1" xfId="0" applyFill="1" applyBorder="1"/>
    <xf numFmtId="164" fontId="8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0" fillId="3" borderId="1" xfId="0" applyFill="1" applyBorder="1"/>
    <xf numFmtId="16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mann.de/de/gravity_sp_2332_b_speaker_stand.htm" TargetMode="External"/><Relationship Id="rId2" Type="http://schemas.openxmlformats.org/officeDocument/2006/relationships/hyperlink" Target="https://www.thomann.fi/jbl_aktiivisubbarit.html" TargetMode="External"/><Relationship Id="rId1" Type="http://schemas.openxmlformats.org/officeDocument/2006/relationships/hyperlink" Target="https://www.thomann.de/de/jbl_irx_108_bt.htm" TargetMode="External"/><Relationship Id="rId5" Type="http://schemas.openxmlformats.org/officeDocument/2006/relationships/hyperlink" Target="https://www.thomann.fr/thomann_cover_jbl_irx_108_bt.htm" TargetMode="External"/><Relationship Id="rId4" Type="http://schemas.openxmlformats.org/officeDocument/2006/relationships/hyperlink" Target="https://www.thomann.de/de/thomann_cover_jbl_eon_618_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abSelected="1" zoomScaleNormal="100" workbookViewId="0">
      <pane ySplit="4" topLeftCell="A5" activePane="bottomLeft" state="frozen"/>
      <selection pane="bottomLeft" sqref="A1:K1"/>
    </sheetView>
  </sheetViews>
  <sheetFormatPr defaultColWidth="8.6640625" defaultRowHeight="14.4" x14ac:dyDescent="0.3"/>
  <cols>
    <col min="1" max="1" width="4" customWidth="1"/>
    <col min="2" max="2" width="30" customWidth="1"/>
    <col min="3" max="3" width="11" customWidth="1"/>
    <col min="4" max="4" width="6" customWidth="1"/>
    <col min="5" max="5" width="14" customWidth="1"/>
    <col min="6" max="6" width="13" customWidth="1"/>
    <col min="7" max="7" width="15" customWidth="1"/>
    <col min="8" max="8" width="16" customWidth="1"/>
    <col min="9" max="9" width="14" customWidth="1"/>
    <col min="10" max="10" width="13" customWidth="1"/>
    <col min="11" max="11" width="26" customWidth="1"/>
  </cols>
  <sheetData>
    <row r="1" spans="1:11" ht="30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7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43.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</row>
    <row r="5" spans="1:11" ht="39.75" customHeight="1" x14ac:dyDescent="0.3">
      <c r="A5" s="10">
        <v>1</v>
      </c>
      <c r="B5" s="11" t="s">
        <v>13</v>
      </c>
      <c r="C5" s="10" t="s">
        <v>14</v>
      </c>
      <c r="D5" s="12">
        <v>2</v>
      </c>
      <c r="E5" s="13">
        <v>484.5</v>
      </c>
      <c r="F5" s="14">
        <f>D5*E5</f>
        <v>969</v>
      </c>
      <c r="G5" s="13">
        <v>969</v>
      </c>
      <c r="H5" s="13">
        <v>990</v>
      </c>
      <c r="I5" s="14">
        <f>H5-E5</f>
        <v>505.5</v>
      </c>
      <c r="J5" s="15">
        <f>IF(H5=0,"",1-E5/H5)</f>
        <v>0.51060606060606062</v>
      </c>
      <c r="K5" s="16" t="s">
        <v>15</v>
      </c>
    </row>
    <row r="6" spans="1:11" ht="39.75" customHeight="1" x14ac:dyDescent="0.3">
      <c r="A6" s="10">
        <v>2</v>
      </c>
      <c r="B6" s="11" t="s">
        <v>16</v>
      </c>
      <c r="C6" s="10" t="s">
        <v>17</v>
      </c>
      <c r="D6" s="12">
        <v>2</v>
      </c>
      <c r="E6" s="13">
        <v>202.95</v>
      </c>
      <c r="F6" s="14">
        <f>D6*E6</f>
        <v>405.9</v>
      </c>
      <c r="G6" s="13">
        <v>369</v>
      </c>
      <c r="H6" s="13">
        <v>369</v>
      </c>
      <c r="I6" s="14">
        <f>H6-E6</f>
        <v>166.05</v>
      </c>
      <c r="J6" s="15">
        <f>IF(H6=0,"",1-E6/H6)</f>
        <v>0.45000000000000007</v>
      </c>
      <c r="K6" s="16" t="s">
        <v>18</v>
      </c>
    </row>
    <row r="7" spans="1:11" ht="39.75" customHeight="1" x14ac:dyDescent="0.3">
      <c r="A7" s="10">
        <v>3</v>
      </c>
      <c r="B7" s="11" t="s">
        <v>19</v>
      </c>
      <c r="C7" s="10" t="s">
        <v>20</v>
      </c>
      <c r="D7" s="12">
        <v>2</v>
      </c>
      <c r="E7" s="13">
        <v>11</v>
      </c>
      <c r="F7" s="14">
        <f>D7*E7</f>
        <v>22</v>
      </c>
      <c r="G7" s="13">
        <v>22</v>
      </c>
      <c r="H7" s="13">
        <v>22</v>
      </c>
      <c r="I7" s="14">
        <f>H7-E7</f>
        <v>11</v>
      </c>
      <c r="J7" s="15">
        <f>IF(H7=0,"",1-E7/H7)</f>
        <v>0.5</v>
      </c>
      <c r="K7" s="16" t="s">
        <v>21</v>
      </c>
    </row>
    <row r="8" spans="1:11" ht="39.75" customHeight="1" x14ac:dyDescent="0.3">
      <c r="A8" s="10">
        <v>4</v>
      </c>
      <c r="B8" s="11" t="s">
        <v>22</v>
      </c>
      <c r="C8" s="10" t="s">
        <v>23</v>
      </c>
      <c r="D8" s="12">
        <v>1</v>
      </c>
      <c r="E8" s="13">
        <v>65</v>
      </c>
      <c r="F8" s="14">
        <f>D8*E8</f>
        <v>65</v>
      </c>
      <c r="G8" s="17"/>
      <c r="H8" s="13">
        <v>164</v>
      </c>
      <c r="I8" s="14">
        <f>H8-E8</f>
        <v>99</v>
      </c>
      <c r="J8" s="15">
        <f>IF(H8=0,"",1-E8/H8)</f>
        <v>0.60365853658536583</v>
      </c>
      <c r="K8" s="16" t="s">
        <v>24</v>
      </c>
    </row>
    <row r="9" spans="1:11" ht="22.8" x14ac:dyDescent="0.3">
      <c r="B9" s="18" t="s">
        <v>25</v>
      </c>
      <c r="C9" s="19"/>
      <c r="D9" s="19"/>
      <c r="E9" s="19"/>
      <c r="F9" s="20">
        <f>SUM(F5:F8)</f>
        <v>1461.9</v>
      </c>
      <c r="G9" s="19"/>
      <c r="H9" s="19"/>
      <c r="I9" s="19"/>
      <c r="J9" s="19"/>
      <c r="K9" s="21" t="s">
        <v>26</v>
      </c>
    </row>
    <row r="10" spans="1:11" ht="22.8" x14ac:dyDescent="0.3">
      <c r="B10" s="22" t="s">
        <v>27</v>
      </c>
      <c r="C10" s="23"/>
      <c r="D10" s="23"/>
      <c r="E10" s="23"/>
      <c r="F10" s="24">
        <v>1450</v>
      </c>
      <c r="G10" s="23"/>
      <c r="H10" s="23"/>
      <c r="I10" s="23"/>
      <c r="J10" s="23"/>
      <c r="K10" s="25" t="s">
        <v>28</v>
      </c>
    </row>
    <row r="11" spans="1:11" ht="22.8" x14ac:dyDescent="0.3">
      <c r="B11" s="18" t="s">
        <v>29</v>
      </c>
      <c r="C11" s="19"/>
      <c r="D11" s="19"/>
      <c r="E11" s="19"/>
      <c r="F11" s="19"/>
      <c r="G11" s="19"/>
      <c r="H11" s="20">
        <f>SUMPRODUCT(D5:D8,H5:H8)</f>
        <v>2926</v>
      </c>
      <c r="I11" s="19"/>
      <c r="J11" s="19"/>
      <c r="K11" s="21" t="s">
        <v>30</v>
      </c>
    </row>
    <row r="12" spans="1:11" ht="22.8" x14ac:dyDescent="0.3">
      <c r="B12" s="26" t="s">
        <v>31</v>
      </c>
      <c r="C12" s="27"/>
      <c r="D12" s="27"/>
      <c r="E12" s="27"/>
      <c r="F12" s="27"/>
      <c r="G12" s="27"/>
      <c r="H12" s="28">
        <f>H11-F10</f>
        <v>1476</v>
      </c>
      <c r="I12" s="27"/>
      <c r="J12" s="29">
        <f>1-F10/H11</f>
        <v>0.50444292549555714</v>
      </c>
      <c r="K12" s="30" t="s">
        <v>32</v>
      </c>
    </row>
    <row r="14" spans="1:11" ht="15" customHeight="1" x14ac:dyDescent="0.3">
      <c r="A14" s="6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27.75" customHeight="1" x14ac:dyDescent="0.3">
      <c r="A15" s="5" t="s">
        <v>34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27.75" customHeight="1" x14ac:dyDescent="0.3">
      <c r="A16" s="5" t="s">
        <v>35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27.75" customHeight="1" x14ac:dyDescent="0.3">
      <c r="A17" s="5" t="s">
        <v>36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27.75" customHeight="1" x14ac:dyDescent="0.3">
      <c r="A18" s="5" t="s">
        <v>37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27.75" customHeight="1" x14ac:dyDescent="0.3">
      <c r="A19" s="5" t="s">
        <v>38</v>
      </c>
      <c r="B19" s="5"/>
      <c r="C19" s="5"/>
      <c r="D19" s="5"/>
      <c r="E19" s="5"/>
      <c r="F19" s="5"/>
      <c r="G19" s="5"/>
      <c r="H19" s="5"/>
      <c r="I19" s="5"/>
      <c r="J19" s="5"/>
      <c r="K19" s="5"/>
    </row>
  </sheetData>
  <mergeCells count="8">
    <mergeCell ref="A17:K17"/>
    <mergeCell ref="A18:K18"/>
    <mergeCell ref="A19:K19"/>
    <mergeCell ref="A1:K1"/>
    <mergeCell ref="A2:K2"/>
    <mergeCell ref="A14:K14"/>
    <mergeCell ref="A15:K15"/>
    <mergeCell ref="A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3" width="16" customWidth="1"/>
    <col min="4" max="4" width="58" customWidth="1"/>
  </cols>
  <sheetData>
    <row r="1" spans="1:4" ht="25.5" customHeight="1" x14ac:dyDescent="0.3">
      <c r="A1" s="4" t="s">
        <v>39</v>
      </c>
      <c r="B1" s="4"/>
      <c r="C1" s="4"/>
      <c r="D1" s="4"/>
    </row>
    <row r="3" spans="1:4" ht="19.5" customHeight="1" x14ac:dyDescent="0.3">
      <c r="A3" s="9" t="s">
        <v>3</v>
      </c>
      <c r="B3" s="9" t="s">
        <v>40</v>
      </c>
      <c r="C3" s="9" t="s">
        <v>41</v>
      </c>
      <c r="D3" s="9" t="s">
        <v>42</v>
      </c>
    </row>
    <row r="4" spans="1:4" ht="30" customHeight="1" x14ac:dyDescent="0.3">
      <c r="A4" s="31" t="s">
        <v>43</v>
      </c>
      <c r="B4" s="32" t="s">
        <v>44</v>
      </c>
      <c r="C4" s="32" t="s">
        <v>45</v>
      </c>
      <c r="D4" s="31" t="s">
        <v>46</v>
      </c>
    </row>
    <row r="5" spans="1:4" ht="30" customHeight="1" x14ac:dyDescent="0.3">
      <c r="A5" s="31" t="s">
        <v>47</v>
      </c>
      <c r="B5" s="14">
        <v>990</v>
      </c>
      <c r="C5" s="32" t="s">
        <v>45</v>
      </c>
      <c r="D5" s="31" t="s">
        <v>48</v>
      </c>
    </row>
    <row r="6" spans="1:4" ht="30" customHeight="1" x14ac:dyDescent="0.3">
      <c r="A6" s="31" t="s">
        <v>49</v>
      </c>
      <c r="B6" s="14">
        <v>369</v>
      </c>
      <c r="C6" s="14">
        <v>609.27</v>
      </c>
      <c r="D6" s="31" t="s">
        <v>50</v>
      </c>
    </row>
    <row r="7" spans="1:4" ht="30" customHeight="1" x14ac:dyDescent="0.3">
      <c r="A7" s="31" t="s">
        <v>51</v>
      </c>
      <c r="B7" s="14">
        <v>22</v>
      </c>
      <c r="C7" s="32" t="s">
        <v>45</v>
      </c>
      <c r="D7" s="31" t="s">
        <v>52</v>
      </c>
    </row>
    <row r="8" spans="1:4" ht="30" customHeight="1" x14ac:dyDescent="0.3">
      <c r="A8" s="31" t="s">
        <v>53</v>
      </c>
      <c r="B8" s="14">
        <v>50</v>
      </c>
      <c r="C8" s="32" t="s">
        <v>45</v>
      </c>
      <c r="D8" s="31" t="s">
        <v>54</v>
      </c>
    </row>
    <row r="9" spans="1:4" ht="30" customHeight="1" x14ac:dyDescent="0.3">
      <c r="A9" s="31" t="s">
        <v>55</v>
      </c>
      <c r="B9" s="14">
        <v>32</v>
      </c>
      <c r="C9" s="32" t="s">
        <v>45</v>
      </c>
      <c r="D9" s="31" t="s">
        <v>56</v>
      </c>
    </row>
    <row r="11" spans="1:4" x14ac:dyDescent="0.3">
      <c r="A11" s="3" t="s">
        <v>57</v>
      </c>
      <c r="B11" s="3"/>
      <c r="C11" s="3"/>
      <c r="D11" s="3"/>
    </row>
    <row r="12" spans="1:4" ht="25.5" customHeight="1" x14ac:dyDescent="0.3">
      <c r="A12" s="2" t="s">
        <v>58</v>
      </c>
      <c r="B12" s="2"/>
      <c r="C12" s="2"/>
      <c r="D12" s="2"/>
    </row>
    <row r="13" spans="1:4" ht="25.5" customHeight="1" x14ac:dyDescent="0.3">
      <c r="A13" s="2" t="s">
        <v>59</v>
      </c>
      <c r="B13" s="2"/>
      <c r="C13" s="2"/>
      <c r="D13" s="2"/>
    </row>
    <row r="14" spans="1:4" ht="25.5" customHeight="1" x14ac:dyDescent="0.3">
      <c r="A14" s="2" t="s">
        <v>60</v>
      </c>
      <c r="B14" s="2"/>
      <c r="C14" s="2"/>
      <c r="D14" s="2"/>
    </row>
    <row r="15" spans="1:4" ht="25.5" customHeight="1" x14ac:dyDescent="0.3">
      <c r="A15" s="2" t="s">
        <v>61</v>
      </c>
      <c r="B15" s="2"/>
      <c r="C15" s="2"/>
      <c r="D15" s="2"/>
    </row>
    <row r="16" spans="1:4" ht="25.5" customHeight="1" x14ac:dyDescent="0.3">
      <c r="A16" s="2" t="s">
        <v>62</v>
      </c>
      <c r="B16" s="2"/>
      <c r="C16" s="2"/>
      <c r="D16" s="2"/>
    </row>
    <row r="18" spans="1:4" x14ac:dyDescent="0.3">
      <c r="A18" s="3" t="s">
        <v>63</v>
      </c>
      <c r="B18" s="3"/>
      <c r="C18" s="3"/>
      <c r="D18" s="3"/>
    </row>
    <row r="19" spans="1:4" x14ac:dyDescent="0.3">
      <c r="A19" s="33" t="s">
        <v>64</v>
      </c>
      <c r="B19" s="1" t="s">
        <v>65</v>
      </c>
      <c r="C19" s="1"/>
      <c r="D19" s="1"/>
    </row>
    <row r="20" spans="1:4" x14ac:dyDescent="0.3">
      <c r="A20" s="33" t="s">
        <v>66</v>
      </c>
      <c r="B20" s="1" t="s">
        <v>67</v>
      </c>
      <c r="C20" s="1"/>
      <c r="D20" s="1"/>
    </row>
    <row r="21" spans="1:4" x14ac:dyDescent="0.3">
      <c r="A21" s="33" t="s">
        <v>51</v>
      </c>
      <c r="B21" s="1" t="s">
        <v>68</v>
      </c>
      <c r="C21" s="1"/>
      <c r="D21" s="1"/>
    </row>
    <row r="22" spans="1:4" x14ac:dyDescent="0.3">
      <c r="A22" s="33" t="s">
        <v>69</v>
      </c>
      <c r="B22" s="1" t="s">
        <v>70</v>
      </c>
      <c r="C22" s="1"/>
      <c r="D22" s="1"/>
    </row>
    <row r="23" spans="1:4" x14ac:dyDescent="0.3">
      <c r="A23" s="33" t="s">
        <v>71</v>
      </c>
      <c r="B23" s="1" t="s">
        <v>72</v>
      </c>
      <c r="C23" s="1"/>
      <c r="D23" s="1"/>
    </row>
  </sheetData>
  <mergeCells count="13">
    <mergeCell ref="B21:D21"/>
    <mergeCell ref="B22:D22"/>
    <mergeCell ref="B23:D23"/>
    <mergeCell ref="A15:D15"/>
    <mergeCell ref="A16:D16"/>
    <mergeCell ref="A18:D18"/>
    <mergeCell ref="B19:D19"/>
    <mergeCell ref="B20:D20"/>
    <mergeCell ref="A1:D1"/>
    <mergeCell ref="A11:D11"/>
    <mergeCell ref="A12:D12"/>
    <mergeCell ref="A13:D13"/>
    <mergeCell ref="A14:D14"/>
  </mergeCells>
  <hyperlinks>
    <hyperlink ref="B19" r:id="rId1" xr:uid="{00000000-0004-0000-0100-000000000000}"/>
    <hyperlink ref="B20" r:id="rId2" xr:uid="{00000000-0004-0000-0100-000001000000}"/>
    <hyperlink ref="B21" r:id="rId3" xr:uid="{00000000-0004-0000-0100-000002000000}"/>
    <hyperlink ref="B22" r:id="rId4" xr:uid="{00000000-0004-0000-0100-000003000000}"/>
    <hyperlink ref="B23" r:id="rId5" xr:uid="{00000000-0004-0000-0100-000004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Comparação</vt:lpstr>
      <vt:lpstr>Notas 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Rui Cesar Salvado Alves</cp:lastModifiedBy>
  <cp:revision>0</cp:revision>
  <dcterms:created xsi:type="dcterms:W3CDTF">2026-06-24T21:04:33Z</dcterms:created>
  <dcterms:modified xsi:type="dcterms:W3CDTF">2026-06-24T21:07:10Z</dcterms:modified>
  <dc:language>en-US</dc:language>
</cp:coreProperties>
</file>