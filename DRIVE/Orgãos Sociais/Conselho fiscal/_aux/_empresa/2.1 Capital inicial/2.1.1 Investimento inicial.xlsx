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2. Financeiro/2.1 Capital inicial/"/>
    </mc:Choice>
  </mc:AlternateContent>
  <xr:revisionPtr revIDLastSave="22" documentId="13_ncr:1_{1CD4E8AD-E749-48D6-86A8-889BB655B34A}" xr6:coauthVersionLast="47" xr6:coauthVersionMax="47" xr10:uidLastSave="{ACC65194-3AE8-4F67-B11B-1881B5130347}"/>
  <bookViews>
    <workbookView xWindow="-108" yWindow="-108" windowWidth="23256" windowHeight="12456" activeTab="3" xr2:uid="{CBC5FC37-59FB-4B0F-90C3-763AAC28F3B2}"/>
  </bookViews>
  <sheets>
    <sheet name="Gastos 1º ano" sheetId="1" r:id="rId1"/>
    <sheet name="1º ENTRADA" sheetId="4" r:id="rId2"/>
    <sheet name="Divisão da empresa" sheetId="2" r:id="rId3"/>
    <sheet name="Sheet2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4" i="3" l="1"/>
  <c r="J5" i="3"/>
  <c r="J6" i="3"/>
  <c r="J7" i="3"/>
  <c r="N10" i="3" a="1"/>
  <c r="N10" i="3" s="1"/>
  <c r="J3" i="3"/>
  <c r="J2" i="3"/>
  <c r="D12" i="2"/>
  <c r="J8" i="3"/>
  <c r="O12" i="3" l="1"/>
  <c r="O13" i="3"/>
  <c r="O14" i="3"/>
  <c r="O15" i="3"/>
  <c r="O10" i="3"/>
  <c r="O11" i="3"/>
  <c r="K2" i="1"/>
  <c r="E4" i="1"/>
  <c r="C2" i="4" s="1"/>
  <c r="C5" i="4" l="1" a="1"/>
  <c r="D6" i="4" s="1"/>
  <c r="P15" i="3"/>
  <c r="P14" i="3"/>
  <c r="P12" i="3"/>
  <c r="P10" i="3"/>
  <c r="P11" i="3"/>
  <c r="P13" i="3"/>
  <c r="K4" i="1"/>
  <c r="C5" i="4" l="1"/>
  <c r="D5" i="4" s="1"/>
  <c r="D7" i="4"/>
  <c r="D8" i="4"/>
  <c r="D9" i="4"/>
  <c r="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<sst xmlns="http://schemas.openxmlformats.org/spreadsheetml/2006/main" count="53" uniqueCount="41">
  <si>
    <t>Investimento inicial</t>
  </si>
  <si>
    <t>Despesas únicas</t>
  </si>
  <si>
    <t>Despesas mensais</t>
  </si>
  <si>
    <t>Despesas anuais</t>
  </si>
  <si>
    <t>Projeção de gastos 1ºano</t>
  </si>
  <si>
    <t>Mateus Rocchi</t>
  </si>
  <si>
    <t>Sociedade anonima?</t>
  </si>
  <si>
    <t>Abrir empresa</t>
  </si>
  <si>
    <t>Margem</t>
  </si>
  <si>
    <t>Henrique Carneiro</t>
  </si>
  <si>
    <t>Sociedade p quotas</t>
  </si>
  <si>
    <t>Construção do PA</t>
  </si>
  <si>
    <t>José Silva</t>
  </si>
  <si>
    <t>Contabilista</t>
  </si>
  <si>
    <t>Rui Alves</t>
  </si>
  <si>
    <t>Aluguer de um espaço</t>
  </si>
  <si>
    <t>Rodrigo Capelas</t>
  </si>
  <si>
    <t>Domínio de um site?</t>
  </si>
  <si>
    <t>Total:</t>
  </si>
  <si>
    <t>Dívida</t>
  </si>
  <si>
    <t>Juros</t>
  </si>
  <si>
    <t>João Castro</t>
  </si>
  <si>
    <t>Nicolau Teixeira</t>
  </si>
  <si>
    <t>Inês César</t>
  </si>
  <si>
    <t>Aluguer</t>
  </si>
  <si>
    <t>PA inteiro</t>
  </si>
  <si>
    <t>1/2 PA</t>
  </si>
  <si>
    <t>Percentagens</t>
  </si>
  <si>
    <t>Caixa</t>
  </si>
  <si>
    <t>Serviço</t>
  </si>
  <si>
    <t>IRC</t>
  </si>
  <si>
    <t>Valor bruto</t>
  </si>
  <si>
    <t>Preço total (c/IVA)</t>
  </si>
  <si>
    <t>Quota da empresa</t>
  </si>
  <si>
    <t>Valor de entrada:</t>
  </si>
  <si>
    <t>Percentagem de investimento</t>
  </si>
  <si>
    <t>Valor</t>
  </si>
  <si>
    <t>Royalty (Total)</t>
  </si>
  <si>
    <t>Contacto</t>
  </si>
  <si>
    <t>Catarina</t>
  </si>
  <si>
    <t>Eltricidade,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</si>
</sst>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  <numFmt numFmtId="165" formatCode="#,##0.00\ &quot;€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230B-6D89-49AF-A5CE-6A97BDAB7314}">
  <dimension ref="A2:K9"/>
  <sheetViews>
    <sheetView topLeftCell="C1" zoomScale="135" zoomScaleNormal="175" workbookViewId="0">
      <selection activeCell="D12" sqref="D12:D13"/>
    </sheetView>
  </sheetViews>
  <sheetFormatPr defaultRowHeight="14.4" x14ac:dyDescent="0.3"/>
  <cols>
    <col min="4" max="4" width="19.6640625" bestFit="1" customWidth="1"/>
    <col min="5" max="5" width="14.6640625" bestFit="1" customWidth="1"/>
    <col min="6" max="6" width="16.109375" bestFit="1" customWidth="1"/>
    <col min="7" max="7" width="14.6640625" bestFit="1" customWidth="1"/>
    <col min="10" max="10" width="21.6640625" bestFit="1" customWidth="1"/>
    <col min="11" max="11" width="12.21875" bestFit="1" customWidth="1"/>
    <col min="13" max="13" width="20.6640625" bestFit="1" customWidth="1"/>
    <col min="14" max="14" width="15.88671875" bestFit="1" customWidth="1"/>
    <col min="15" max="15" width="11.5546875" bestFit="1" customWidth="1"/>
    <col min="16" max="16" width="22" bestFit="1" customWidth="1"/>
  </cols>
  <sheetData>
    <row r="2" spans="1:11" x14ac:dyDescent="0.3">
      <c r="J2" t="s">
        <v>0</v>
      </c>
      <c r="K2" s="2">
        <f>'Divisão da empresa'!D12</f>
        <v>19200</v>
      </c>
    </row>
    <row r="3" spans="1:11" x14ac:dyDescent="0.3">
      <c r="E3" t="s">
        <v>1</v>
      </c>
      <c r="F3" t="s">
        <v>2</v>
      </c>
      <c r="G3" t="s">
        <v>3</v>
      </c>
      <c r="J3" t="s">
        <v>4</v>
      </c>
      <c r="K3" s="2">
        <f>E4+E5+SUM(F6:F8)*12+G9</f>
        <v>14887</v>
      </c>
    </row>
    <row r="4" spans="1:11" x14ac:dyDescent="0.3">
      <c r="A4" t="s">
        <v>6</v>
      </c>
      <c r="D4" t="s">
        <v>7</v>
      </c>
      <c r="E4" s="1">
        <f>360+75</f>
        <v>435</v>
      </c>
      <c r="F4" s="7"/>
      <c r="G4" s="1"/>
      <c r="J4" t="s">
        <v>8</v>
      </c>
      <c r="K4" s="2">
        <f>K2-K3</f>
        <v>4313</v>
      </c>
    </row>
    <row r="5" spans="1:11" x14ac:dyDescent="0.3">
      <c r="A5" t="s">
        <v>10</v>
      </c>
      <c r="D5" t="s">
        <v>11</v>
      </c>
      <c r="E5" s="1">
        <v>5200</v>
      </c>
      <c r="F5" s="7"/>
      <c r="G5" s="1"/>
    </row>
    <row r="6" spans="1:11" x14ac:dyDescent="0.3">
      <c r="D6" t="s">
        <v>40</v>
      </c>
      <c r="F6" s="8">
        <v>170</v>
      </c>
    </row>
    <row r="7" spans="1:11" x14ac:dyDescent="0.3">
      <c r="D7" t="s">
        <v>13</v>
      </c>
      <c r="E7" s="1"/>
      <c r="F7" s="7">
        <v>100</v>
      </c>
      <c r="G7" s="1"/>
    </row>
    <row r="8" spans="1:11" x14ac:dyDescent="0.3">
      <c r="D8" t="s">
        <v>15</v>
      </c>
      <c r="E8" s="1"/>
      <c r="F8" s="7">
        <v>500</v>
      </c>
      <c r="G8" s="1"/>
    </row>
    <row r="9" spans="1:11" x14ac:dyDescent="0.3">
      <c r="D9" t="s">
        <v>17</v>
      </c>
      <c r="E9" s="1"/>
      <c r="F9" s="1"/>
      <c r="G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CF20-60F4-4779-B75E-93BC0C629355}">
  <dimension ref="B2:D10"/>
  <sheetViews>
    <sheetView zoomScale="99" workbookViewId="0">
      <selection activeCell="F11" sqref="F11"/>
    </sheetView>
  </sheetViews>
  <sheetFormatPr defaultRowHeight="14.4" x14ac:dyDescent="0.3"/>
  <cols>
    <col min="2" max="2" width="15.88671875" bestFit="1" customWidth="1"/>
    <col min="3" max="3" width="25" bestFit="1" customWidth="1"/>
    <col min="4" max="4" width="10.77734375" bestFit="1" customWidth="1"/>
  </cols>
  <sheetData>
    <row r="2" spans="2:4" x14ac:dyDescent="0.3">
      <c r="B2" t="s">
        <v>34</v>
      </c>
      <c r="C2" s="2">
        <f>'Gastos 1º ano'!K3</f>
        <v>14887</v>
      </c>
    </row>
    <row r="4" spans="2:4" x14ac:dyDescent="0.3">
      <c r="C4" t="s">
        <v>35</v>
      </c>
      <c r="D4" t="s">
        <v>36</v>
      </c>
    </row>
    <row r="5" spans="2:4" x14ac:dyDescent="0.3">
      <c r="B5" t="s">
        <v>5</v>
      </c>
      <c r="C5" s="3" cm="1">
        <f t="array" ref="C5:C10">Sheet2!O10:O15</f>
        <v>0.52083333333333337</v>
      </c>
      <c r="D5" s="2">
        <f>$C$2*C5</f>
        <v>7753.6458333333339</v>
      </c>
    </row>
    <row r="6" spans="2:4" x14ac:dyDescent="0.3">
      <c r="B6" t="s">
        <v>9</v>
      </c>
      <c r="C6" s="3">
        <v>0.390625</v>
      </c>
      <c r="D6" s="2">
        <f t="shared" ref="D6:D10" si="0">$C$2*C6</f>
        <v>5815.234375</v>
      </c>
    </row>
    <row r="7" spans="2:4" x14ac:dyDescent="0.3">
      <c r="B7" t="s">
        <v>12</v>
      </c>
      <c r="C7" s="3">
        <v>2.6041666666666668E-2</v>
      </c>
      <c r="D7" s="2">
        <f t="shared" si="0"/>
        <v>387.68229166666669</v>
      </c>
    </row>
    <row r="8" spans="2:4" x14ac:dyDescent="0.3">
      <c r="B8" t="s">
        <v>14</v>
      </c>
      <c r="C8" s="3">
        <v>3.125E-2</v>
      </c>
      <c r="D8" s="2">
        <f t="shared" si="0"/>
        <v>465.21875</v>
      </c>
    </row>
    <row r="9" spans="2:4" x14ac:dyDescent="0.3">
      <c r="B9" t="s">
        <v>16</v>
      </c>
      <c r="C9" s="3">
        <v>1.5625E-2</v>
      </c>
      <c r="D9" s="2">
        <f t="shared" si="0"/>
        <v>232.609375</v>
      </c>
    </row>
    <row r="10" spans="2:4" x14ac:dyDescent="0.3">
      <c r="B10" t="s">
        <v>21</v>
      </c>
      <c r="C10" s="3">
        <v>1.5625E-2</v>
      </c>
      <c r="D10" s="2">
        <f t="shared" si="0"/>
        <v>232.609375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D2AE-12A6-455E-9130-81E202C22A05}">
  <dimension ref="C2:F12"/>
  <sheetViews>
    <sheetView zoomScale="103" workbookViewId="0">
      <selection activeCell="F3" sqref="F3:F8"/>
    </sheetView>
  </sheetViews>
  <sheetFormatPr defaultRowHeight="14.4" x14ac:dyDescent="0.3"/>
  <cols>
    <col min="2" max="2" width="20.21875" bestFit="1" customWidth="1"/>
    <col min="3" max="3" width="15.88671875" bestFit="1" customWidth="1"/>
    <col min="4" max="4" width="12.33203125" bestFit="1" customWidth="1"/>
    <col min="5" max="8" width="21.88671875" bestFit="1" customWidth="1"/>
  </cols>
  <sheetData>
    <row r="2" spans="3:6" x14ac:dyDescent="0.3">
      <c r="D2" t="s">
        <v>19</v>
      </c>
      <c r="E2" t="s">
        <v>20</v>
      </c>
      <c r="F2" t="s">
        <v>33</v>
      </c>
    </row>
    <row r="3" spans="3:6" x14ac:dyDescent="0.3">
      <c r="C3" t="s">
        <v>5</v>
      </c>
      <c r="D3" s="1">
        <v>10000</v>
      </c>
      <c r="E3" s="3"/>
      <c r="F3" s="3"/>
    </row>
    <row r="4" spans="3:6" x14ac:dyDescent="0.3">
      <c r="C4" t="s">
        <v>9</v>
      </c>
      <c r="D4" s="1">
        <v>7500</v>
      </c>
      <c r="E4" s="3"/>
      <c r="F4" s="3"/>
    </row>
    <row r="5" spans="3:6" x14ac:dyDescent="0.3">
      <c r="C5" t="s">
        <v>12</v>
      </c>
      <c r="D5" s="1">
        <v>500</v>
      </c>
      <c r="E5" s="3"/>
      <c r="F5" s="3"/>
    </row>
    <row r="6" spans="3:6" x14ac:dyDescent="0.3">
      <c r="C6" t="s">
        <v>14</v>
      </c>
      <c r="D6" s="1">
        <v>600</v>
      </c>
      <c r="E6" s="3"/>
      <c r="F6" s="3"/>
    </row>
    <row r="7" spans="3:6" x14ac:dyDescent="0.3">
      <c r="C7" t="s">
        <v>16</v>
      </c>
      <c r="D7" s="1">
        <v>300</v>
      </c>
      <c r="E7" s="3"/>
      <c r="F7" s="3"/>
    </row>
    <row r="8" spans="3:6" x14ac:dyDescent="0.3">
      <c r="C8" t="s">
        <v>21</v>
      </c>
      <c r="D8" s="1">
        <v>300</v>
      </c>
      <c r="F8" s="3"/>
    </row>
    <row r="9" spans="3:6" x14ac:dyDescent="0.3">
      <c r="C9" t="s">
        <v>22</v>
      </c>
      <c r="F9" s="3"/>
    </row>
    <row r="10" spans="3:6" x14ac:dyDescent="0.3">
      <c r="C10" t="s">
        <v>23</v>
      </c>
    </row>
    <row r="11" spans="3:6" x14ac:dyDescent="0.3">
      <c r="C11" t="s">
        <v>39</v>
      </c>
    </row>
    <row r="12" spans="3:6" x14ac:dyDescent="0.3">
      <c r="C12" t="s">
        <v>18</v>
      </c>
      <c r="D12" s="1">
        <f>SUM(D3:D8)</f>
        <v>19200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D5C5-B8DB-46DF-AD4D-694BA46724C0}">
  <dimension ref="C2:P15"/>
  <sheetViews>
    <sheetView tabSelected="1" topLeftCell="B1" zoomScale="130" workbookViewId="0">
      <selection activeCell="K4" sqref="K4"/>
    </sheetView>
  </sheetViews>
  <sheetFormatPr defaultRowHeight="14.4" x14ac:dyDescent="0.3"/>
  <cols>
    <col min="4" max="4" width="9.5546875" bestFit="1" customWidth="1"/>
    <col min="5" max="5" width="9.21875" bestFit="1" customWidth="1"/>
    <col min="7" max="7" width="12.33203125" bestFit="1" customWidth="1"/>
    <col min="8" max="8" width="16" bestFit="1" customWidth="1"/>
    <col min="9" max="9" width="9.21875" bestFit="1" customWidth="1"/>
    <col min="10" max="10" width="9.5546875" bestFit="1" customWidth="1"/>
    <col min="13" max="13" width="16" bestFit="1" customWidth="1"/>
    <col min="14" max="14" width="12.109375" bestFit="1" customWidth="1"/>
  </cols>
  <sheetData>
    <row r="2" spans="3:16" x14ac:dyDescent="0.3">
      <c r="D2" t="s">
        <v>25</v>
      </c>
      <c r="E2" t="s">
        <v>26</v>
      </c>
      <c r="G2" t="s">
        <v>27</v>
      </c>
      <c r="H2" t="s">
        <v>31</v>
      </c>
      <c r="J2" s="4">
        <f>D3</f>
        <v>500</v>
      </c>
    </row>
    <row r="3" spans="3:16" x14ac:dyDescent="0.3">
      <c r="C3" t="s">
        <v>24</v>
      </c>
      <c r="D3" s="4">
        <v>500</v>
      </c>
      <c r="E3" s="4">
        <v>250</v>
      </c>
      <c r="H3" t="s">
        <v>28</v>
      </c>
      <c r="I3" s="5">
        <v>0.65</v>
      </c>
      <c r="J3" s="4">
        <f>I3*$J$2</f>
        <v>325</v>
      </c>
    </row>
    <row r="4" spans="3:16" x14ac:dyDescent="0.3">
      <c r="H4" t="s">
        <v>29</v>
      </c>
      <c r="I4" s="5">
        <v>0.23</v>
      </c>
      <c r="J4" s="4">
        <f t="shared" ref="J4:J7" si="0">I4*$J$2</f>
        <v>115</v>
      </c>
    </row>
    <row r="5" spans="3:16" x14ac:dyDescent="0.3">
      <c r="H5" t="s">
        <v>37</v>
      </c>
      <c r="I5" s="6">
        <v>0.09</v>
      </c>
      <c r="J5" s="4">
        <f t="shared" si="0"/>
        <v>45</v>
      </c>
    </row>
    <row r="6" spans="3:16" x14ac:dyDescent="0.3">
      <c r="H6" t="s">
        <v>38</v>
      </c>
      <c r="I6" s="5">
        <v>0.01</v>
      </c>
      <c r="J6" s="4">
        <f t="shared" si="0"/>
        <v>5</v>
      </c>
    </row>
    <row r="7" spans="3:16" x14ac:dyDescent="0.3">
      <c r="H7" t="s">
        <v>30</v>
      </c>
      <c r="I7" s="6">
        <v>1.4999999999999999E-2</v>
      </c>
      <c r="J7" s="4">
        <f t="shared" si="0"/>
        <v>7.5</v>
      </c>
    </row>
    <row r="8" spans="3:16" x14ac:dyDescent="0.3">
      <c r="H8" t="s">
        <v>32</v>
      </c>
      <c r="I8" s="5">
        <v>0.23</v>
      </c>
      <c r="J8" s="4">
        <f>$D$3+$D$3*0.23</f>
        <v>615</v>
      </c>
    </row>
    <row r="10" spans="3:16" x14ac:dyDescent="0.3">
      <c r="M10" t="s">
        <v>5</v>
      </c>
      <c r="N10" s="1" cm="1">
        <f t="array" ref="N10:N15">'Divisão da empresa'!D3:D8</f>
        <v>10000</v>
      </c>
      <c r="O10" s="3">
        <f t="shared" ref="O10:O14" si="1">N10/SUM($N$10:$N$15)</f>
        <v>0.52083333333333337</v>
      </c>
      <c r="P10" s="4">
        <f>O10*$J$5</f>
        <v>23.4375</v>
      </c>
    </row>
    <row r="11" spans="3:16" x14ac:dyDescent="0.3">
      <c r="M11" t="s">
        <v>9</v>
      </c>
      <c r="N11" s="1">
        <v>7500</v>
      </c>
      <c r="O11" s="3">
        <f t="shared" si="1"/>
        <v>0.390625</v>
      </c>
      <c r="P11" s="4">
        <f t="shared" ref="P11:P15" si="2">O11*$J$5</f>
        <v>17.578125</v>
      </c>
    </row>
    <row r="12" spans="3:16" x14ac:dyDescent="0.3">
      <c r="M12" t="s">
        <v>12</v>
      </c>
      <c r="N12" s="1">
        <v>500</v>
      </c>
      <c r="O12" s="3">
        <f t="shared" si="1"/>
        <v>2.6041666666666668E-2</v>
      </c>
      <c r="P12" s="4">
        <f t="shared" si="2"/>
        <v>1.171875</v>
      </c>
    </row>
    <row r="13" spans="3:16" x14ac:dyDescent="0.3">
      <c r="M13" t="s">
        <v>14</v>
      </c>
      <c r="N13" s="1">
        <v>600</v>
      </c>
      <c r="O13" s="3">
        <f t="shared" si="1"/>
        <v>3.125E-2</v>
      </c>
      <c r="P13" s="4">
        <f t="shared" si="2"/>
        <v>1.40625</v>
      </c>
    </row>
    <row r="14" spans="3:16" x14ac:dyDescent="0.3">
      <c r="M14" t="s">
        <v>16</v>
      </c>
      <c r="N14" s="1">
        <v>300</v>
      </c>
      <c r="O14" s="3">
        <f t="shared" si="1"/>
        <v>1.5625E-2</v>
      </c>
      <c r="P14" s="4">
        <f t="shared" si="2"/>
        <v>0.703125</v>
      </c>
    </row>
    <row r="15" spans="3:16" x14ac:dyDescent="0.3">
      <c r="M15" t="s">
        <v>21</v>
      </c>
      <c r="N15" s="1">
        <v>300</v>
      </c>
      <c r="O15" s="3">
        <f>N15/SUM($N$10:$N$15)</f>
        <v>1.5625E-2</v>
      </c>
      <c r="P15" s="4">
        <f t="shared" si="2"/>
        <v>0.703125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Gastos 1º ano</vt:lpstr>
      <vt:lpstr>1º ENTRADA</vt:lpstr>
      <vt:lpstr>Divisão da empresa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 Set</dc:creator>
  <cp:keywords/>
  <dc:description/>
  <cp:lastModifiedBy>Mind Set</cp:lastModifiedBy>
  <cp:revision/>
  <dcterms:created xsi:type="dcterms:W3CDTF">2026-01-14T17:26:34Z</dcterms:created>
  <dcterms:modified xsi:type="dcterms:W3CDTF">2026-01-29T15:44:18Z</dcterms:modified>
  <cp:category/>
  <cp:contentStatus/>
</cp:coreProperties>
</file>