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isa\mind7\MINDSET\DRIVE\1. Direção\0. Associativo\"/>
    </mc:Choice>
  </mc:AlternateContent>
  <xr:revisionPtr revIDLastSave="0" documentId="13_ncr:1_{63511FBC-D460-46FC-B68B-27DCBE973F9B}" xr6:coauthVersionLast="47" xr6:coauthVersionMax="47" xr10:uidLastSave="{00000000-0000-0000-0000-000000000000}"/>
  <bookViews>
    <workbookView xWindow="-108" yWindow="-108" windowWidth="23256" windowHeight="13896" activeTab="1" xr2:uid="{6531F716-14D6-4C5E-AAA6-16B677E61467}"/>
  </bookViews>
  <sheets>
    <sheet name="Sócios" sheetId="1" r:id="rId1"/>
    <sheet name="Cargos Associativos" sheetId="3" r:id="rId2"/>
    <sheet name="Quotas 2026" sheetId="2" r:id="rId3"/>
    <sheet name="Quotas anos anterior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N6" i="2"/>
  <c r="N7" i="2"/>
  <c r="N8" i="2"/>
  <c r="N9" i="2"/>
  <c r="N10" i="2"/>
  <c r="N11" i="2"/>
  <c r="N12" i="2"/>
  <c r="N13" i="2"/>
  <c r="N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4" i="2"/>
  <c r="B18" i="2"/>
  <c r="B19" i="2"/>
  <c r="B20" i="2"/>
  <c r="B13" i="2"/>
  <c r="B14" i="2"/>
  <c r="B15" i="2"/>
  <c r="B16" i="2"/>
  <c r="B17" i="2"/>
  <c r="B5" i="2"/>
  <c r="B6" i="2"/>
  <c r="B7" i="2"/>
  <c r="B8" i="2"/>
  <c r="B9" i="2"/>
  <c r="B10" i="2"/>
  <c r="B11" i="2"/>
  <c r="B12" i="2"/>
  <c r="B4" i="2"/>
</calcChain>
</file>

<file path=xl/sharedStrings.xml><?xml version="1.0" encoding="utf-8"?>
<sst xmlns="http://schemas.openxmlformats.org/spreadsheetml/2006/main" count="82" uniqueCount="58">
  <si>
    <t>Nº de Sócio</t>
  </si>
  <si>
    <t>Nome Completo</t>
  </si>
  <si>
    <t>Rui César Salvado Alves</t>
  </si>
  <si>
    <t>Rodrigo Bela Ferreira Gonçalves Capelas</t>
  </si>
  <si>
    <t>José Miguel Rebelo Pires Santos Silva</t>
  </si>
  <si>
    <t>Henrique Alexandre Ventura Medeiros Carvalho</t>
  </si>
  <si>
    <t>Inês César de Oliveira</t>
  </si>
  <si>
    <t>Mateus Jurkowski Rocchi</t>
  </si>
  <si>
    <t>Nº</t>
  </si>
  <si>
    <t>Nome</t>
  </si>
  <si>
    <t>Cargo</t>
  </si>
  <si>
    <t>Presidente</t>
  </si>
  <si>
    <t>1º Secretário</t>
  </si>
  <si>
    <t>2º Secretário</t>
  </si>
  <si>
    <t xml:space="preserve">Mesa de Assembleia Geral </t>
  </si>
  <si>
    <t xml:space="preserve">Conselho Fiscal </t>
  </si>
  <si>
    <t xml:space="preserve">Direção </t>
  </si>
  <si>
    <t>Rui Alves</t>
  </si>
  <si>
    <t>João Castro</t>
  </si>
  <si>
    <t>João Miguel Pinto Castro</t>
  </si>
  <si>
    <t>Nicolau Teixeira</t>
  </si>
  <si>
    <t>David Moreira</t>
  </si>
  <si>
    <t>João Nakamura</t>
  </si>
  <si>
    <t>Catarina</t>
  </si>
  <si>
    <t>Gsus</t>
  </si>
  <si>
    <t>Wallace</t>
  </si>
  <si>
    <t>Qua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</si>
  <si>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</si>
  <si>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</si>
  <si>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</si>
  <si>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</si>
  <si>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</si>
  <si>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</si>
  <si>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</si>
  <si>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</si>
  <si>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</si>
  <si>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</si>
  <si>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 xml:space="preserve">Mês </t>
  </si>
  <si>
    <t>Nome abreviado</t>
  </si>
  <si>
    <t>Rodrigo Capelas</t>
  </si>
  <si>
    <t>José Silva</t>
  </si>
  <si>
    <t>Henrique Carvalho</t>
  </si>
  <si>
    <t>Inês Oliveira</t>
  </si>
  <si>
    <t>Mateus Rocchi</t>
  </si>
  <si>
    <t>Total Saldado</t>
  </si>
  <si>
    <t>Tesoureiro</t>
  </si>
  <si>
    <t>Órgãos Sociais</t>
  </si>
  <si>
    <t>Orgãos internos</t>
  </si>
  <si>
    <t>Inês César</t>
  </si>
  <si>
    <t>Henrique Medeiros</t>
  </si>
  <si>
    <t>João Aurélio</t>
  </si>
  <si>
    <t>Diogo rouxinol</t>
  </si>
  <si>
    <t>Rádio</t>
  </si>
  <si>
    <t>Representante</t>
  </si>
  <si>
    <t>Marketing</t>
  </si>
  <si>
    <t>Eventos</t>
  </si>
  <si>
    <t>Operações</t>
  </si>
  <si>
    <t>Henrique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</si>
</sst>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0" xfId="0" applyFill="1"/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0" xfId="0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0" fillId="0" borderId="0" xfId="0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A2EF-5519-4679-BE49-75D1E399CCF8}">
  <dimension ref="B2:D19"/>
  <sheetViews>
    <sheetView workbookViewId="0">
      <selection activeCell="D3" sqref="D3:D4"/>
    </sheetView>
  </sheetViews>
  <sheetFormatPr defaultRowHeight="14.4" x14ac:dyDescent="0.3"/>
  <cols>
    <col min="2" max="2" width="11.33203125" customWidth="1"/>
    <col min="3" max="3" width="39.44140625" bestFit="1" customWidth="1"/>
    <col min="4" max="4" width="14.21875" bestFit="1" customWidth="1"/>
  </cols>
  <sheetData>
    <row r="2" spans="2:4" x14ac:dyDescent="0.3">
      <c r="B2" t="s">
        <v>0</v>
      </c>
      <c r="C2" t="s">
        <v>1</v>
      </c>
      <c r="D2" t="s">
        <v>38</v>
      </c>
    </row>
    <row r="3" spans="2:4" x14ac:dyDescent="0.3">
      <c r="B3">
        <v>1</v>
      </c>
      <c r="C3" t="s">
        <v>2</v>
      </c>
      <c r="D3" t="s">
        <v>17</v>
      </c>
    </row>
    <row r="4" spans="2:4" x14ac:dyDescent="0.3">
      <c r="B4">
        <v>2</v>
      </c>
      <c r="C4" t="s">
        <v>3</v>
      </c>
      <c r="D4" t="s">
        <v>39</v>
      </c>
    </row>
    <row r="5" spans="2:4" x14ac:dyDescent="0.3">
      <c r="B5">
        <v>3</v>
      </c>
      <c r="C5" t="s">
        <v>4</v>
      </c>
      <c r="D5" t="s">
        <v>40</v>
      </c>
    </row>
    <row r="6" spans="2:4" x14ac:dyDescent="0.3">
      <c r="B6">
        <v>4</v>
      </c>
      <c r="C6" t="s">
        <v>5</v>
      </c>
      <c r="D6" t="s">
        <v>41</v>
      </c>
    </row>
    <row r="7" spans="2:4" x14ac:dyDescent="0.3">
      <c r="B7">
        <v>5</v>
      </c>
      <c r="C7" t="s">
        <v>19</v>
      </c>
      <c r="D7" t="s">
        <v>18</v>
      </c>
    </row>
    <row r="8" spans="2:4" x14ac:dyDescent="0.3">
      <c r="B8">
        <v>6</v>
      </c>
      <c r="C8" s="6" t="s">
        <v>20</v>
      </c>
      <c r="D8" t="s">
        <v>20</v>
      </c>
    </row>
    <row r="9" spans="2:4" x14ac:dyDescent="0.3">
      <c r="B9">
        <v>7</v>
      </c>
      <c r="C9" t="s">
        <v>6</v>
      </c>
      <c r="D9" t="s">
        <v>42</v>
      </c>
    </row>
    <row r="10" spans="2:4" x14ac:dyDescent="0.3">
      <c r="B10">
        <v>8</v>
      </c>
      <c r="C10" t="s">
        <v>21</v>
      </c>
      <c r="D10" t="s">
        <v>21</v>
      </c>
    </row>
    <row r="11" spans="2:4" x14ac:dyDescent="0.3">
      <c r="B11">
        <v>9</v>
      </c>
      <c r="C11" s="6" t="s">
        <v>22</v>
      </c>
      <c r="D11" t="s">
        <v>22</v>
      </c>
    </row>
    <row r="12" spans="2:4" x14ac:dyDescent="0.3">
      <c r="B12">
        <v>10</v>
      </c>
      <c r="C12" s="6" t="s">
        <v>7</v>
      </c>
      <c r="D12" t="s">
        <v>43</v>
      </c>
    </row>
    <row r="13" spans="2:4" x14ac:dyDescent="0.3">
      <c r="B13">
        <v>11</v>
      </c>
      <c r="C13" s="6" t="s">
        <v>23</v>
      </c>
    </row>
    <row r="14" spans="2:4" x14ac:dyDescent="0.3">
      <c r="B14">
        <v>12</v>
      </c>
      <c r="C14" s="6" t="s">
        <v>24</v>
      </c>
    </row>
    <row r="15" spans="2:4" x14ac:dyDescent="0.3">
      <c r="B15">
        <v>13</v>
      </c>
      <c r="C15" s="6" t="s">
        <v>25</v>
      </c>
    </row>
    <row r="16" spans="2:4" x14ac:dyDescent="0.3">
      <c r="B16">
        <v>14</v>
      </c>
    </row>
    <row r="17" spans="2:2" x14ac:dyDescent="0.3">
      <c r="B17">
        <v>15</v>
      </c>
    </row>
    <row r="18" spans="2:2" x14ac:dyDescent="0.3">
      <c r="B18">
        <v>16</v>
      </c>
    </row>
    <row r="19" spans="2:2" x14ac:dyDescent="0.3">
      <c r="B19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220F-1A27-4385-9DBC-9509A8FC76C7}">
  <dimension ref="B2:E21"/>
  <sheetViews>
    <sheetView tabSelected="1" workbookViewId="0">
      <selection activeCell="F19" sqref="F19"/>
    </sheetView>
  </sheetViews>
  <sheetFormatPr defaultRowHeight="14.4" x14ac:dyDescent="0.3"/>
  <cols>
    <col min="2" max="2" width="26.109375" customWidth="1"/>
    <col min="3" max="3" width="21.21875" customWidth="1"/>
    <col min="5" max="5" width="16.33203125" bestFit="1" customWidth="1"/>
  </cols>
  <sheetData>
    <row r="2" spans="2:5" x14ac:dyDescent="0.3">
      <c r="B2" s="10" t="s">
        <v>46</v>
      </c>
      <c r="C2" s="10"/>
      <c r="D2" s="10"/>
      <c r="E2" s="10"/>
    </row>
    <row r="3" spans="2:5" ht="15" thickBot="1" x14ac:dyDescent="0.35">
      <c r="C3" t="s">
        <v>10</v>
      </c>
      <c r="D3" t="s">
        <v>8</v>
      </c>
      <c r="E3" t="s">
        <v>9</v>
      </c>
    </row>
    <row r="4" spans="2:5" x14ac:dyDescent="0.3">
      <c r="B4" s="7" t="s">
        <v>14</v>
      </c>
      <c r="C4" s="1" t="s">
        <v>11</v>
      </c>
      <c r="D4" s="1"/>
      <c r="E4" s="2" t="s">
        <v>48</v>
      </c>
    </row>
    <row r="5" spans="2:5" x14ac:dyDescent="0.3">
      <c r="B5" s="8"/>
      <c r="C5" t="s">
        <v>12</v>
      </c>
      <c r="E5" s="3" t="s">
        <v>21</v>
      </c>
    </row>
    <row r="6" spans="2:5" ht="15" thickBot="1" x14ac:dyDescent="0.35">
      <c r="B6" s="9"/>
      <c r="C6" s="11" t="s">
        <v>13</v>
      </c>
      <c r="D6" s="11"/>
      <c r="E6" s="12" t="s">
        <v>51</v>
      </c>
    </row>
    <row r="7" spans="2:5" x14ac:dyDescent="0.3">
      <c r="B7" s="7" t="s">
        <v>15</v>
      </c>
      <c r="C7" s="1" t="s">
        <v>11</v>
      </c>
      <c r="D7" s="1"/>
      <c r="E7" s="2" t="s">
        <v>49</v>
      </c>
    </row>
    <row r="8" spans="2:5" x14ac:dyDescent="0.3">
      <c r="B8" s="8"/>
      <c r="C8" t="s">
        <v>12</v>
      </c>
      <c r="E8" s="3" t="s">
        <v>50</v>
      </c>
    </row>
    <row r="9" spans="2:5" ht="15" thickBot="1" x14ac:dyDescent="0.35">
      <c r="B9" s="9"/>
      <c r="C9" s="11" t="s">
        <v>13</v>
      </c>
      <c r="D9" s="11"/>
      <c r="E9" s="12"/>
    </row>
    <row r="10" spans="2:5" x14ac:dyDescent="0.3">
      <c r="B10" s="7" t="s">
        <v>16</v>
      </c>
      <c r="C10" s="1" t="s">
        <v>11</v>
      </c>
      <c r="D10" s="1">
        <v>1</v>
      </c>
      <c r="E10" s="2" t="s">
        <v>17</v>
      </c>
    </row>
    <row r="11" spans="2:5" x14ac:dyDescent="0.3">
      <c r="B11" s="8"/>
      <c r="C11" t="s">
        <v>12</v>
      </c>
      <c r="D11">
        <v>5</v>
      </c>
      <c r="E11" s="3" t="s">
        <v>18</v>
      </c>
    </row>
    <row r="12" spans="2:5" ht="15" thickBot="1" x14ac:dyDescent="0.35">
      <c r="B12" s="9"/>
      <c r="C12" s="4" t="s">
        <v>45</v>
      </c>
      <c r="D12" s="4">
        <v>3</v>
      </c>
      <c r="E12" s="5" t="s">
        <v>22</v>
      </c>
    </row>
    <row r="15" spans="2:5" x14ac:dyDescent="0.3">
      <c r="B15" s="10" t="s">
        <v>47</v>
      </c>
      <c r="C15" s="10"/>
      <c r="D15" s="10"/>
      <c r="E15" s="10"/>
    </row>
    <row r="16" spans="2:5" x14ac:dyDescent="0.3">
      <c r="B16" t="s">
        <v>52</v>
      </c>
      <c r="C16" t="s">
        <v>53</v>
      </c>
      <c r="E16" t="s">
        <v>21</v>
      </c>
    </row>
    <row r="17" spans="2:5" x14ac:dyDescent="0.3">
      <c r="B17" s="13" t="s">
        <v>54</v>
      </c>
      <c r="C17" t="s">
        <v>53</v>
      </c>
      <c r="E17" s="6" t="s">
        <v>23</v>
      </c>
    </row>
    <row r="18" spans="2:5" x14ac:dyDescent="0.3">
      <c r="B18" s="13"/>
      <c r="C18" t="s">
        <v>53</v>
      </c>
      <c r="E18" t="s">
        <v>57</v>
      </c>
    </row>
    <row r="19" spans="2:5" x14ac:dyDescent="0.3">
      <c r="B19" s="14" t="s">
        <v>55</v>
      </c>
      <c r="C19" s="14" t="s">
        <v>53</v>
      </c>
      <c r="D19" s="14"/>
      <c r="E19" s="14" t="s">
        <v>17</v>
      </c>
    </row>
    <row r="20" spans="2:5" x14ac:dyDescent="0.3">
      <c r="B20" s="13" t="s">
        <v>56</v>
      </c>
      <c r="C20" t="s">
        <v>53</v>
      </c>
      <c r="E20" t="s">
        <v>18</v>
      </c>
    </row>
    <row r="21" spans="2:5" x14ac:dyDescent="0.3">
      <c r="B21" s="13"/>
      <c r="C21" t="s">
        <v>53</v>
      </c>
      <c r="E21" t="s">
        <v>48</v>
      </c>
    </row>
  </sheetData>
  <mergeCells count="7">
    <mergeCell ref="B17:B18"/>
    <mergeCell ref="B20:B21"/>
    <mergeCell ref="B4:B6"/>
    <mergeCell ref="B7:B9"/>
    <mergeCell ref="B10:B12"/>
    <mergeCell ref="B2:E2"/>
    <mergeCell ref="B15:E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94BA5-B6E2-48DF-A5E1-F58AA4C2971B}">
  <dimension ref="B2:N20"/>
  <sheetViews>
    <sheetView workbookViewId="0">
      <selection activeCell="Q3" sqref="Q3"/>
    </sheetView>
  </sheetViews>
  <sheetFormatPr defaultRowHeight="14.4" x14ac:dyDescent="0.3"/>
  <cols>
    <col min="3" max="3" width="16" bestFit="1" customWidth="1"/>
    <col min="14" max="14" width="11.6640625" bestFit="1" customWidth="1"/>
  </cols>
  <sheetData>
    <row r="2" spans="2:14" x14ac:dyDescent="0.3">
      <c r="D2" s="10" t="s">
        <v>37</v>
      </c>
      <c r="E2" s="10"/>
      <c r="F2" s="10"/>
      <c r="G2" s="10"/>
      <c r="H2" s="10"/>
      <c r="I2" s="10"/>
      <c r="J2" s="10"/>
      <c r="K2" s="10"/>
      <c r="L2" s="10"/>
      <c r="M2" s="10"/>
    </row>
    <row r="3" spans="2:14" x14ac:dyDescent="0.3">
      <c r="B3" t="s">
        <v>8</v>
      </c>
      <c r="C3" t="s">
        <v>9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44</v>
      </c>
    </row>
    <row r="4" spans="2:14" x14ac:dyDescent="0.3">
      <c r="B4">
        <f>Sócios!B3</f>
        <v>1</v>
      </c>
      <c r="C4" t="str">
        <f>Sócios!D3</f>
        <v>Rui Alves</v>
      </c>
      <c r="N4">
        <f>SUM(D4:M4)</f>
        <v>0</v>
      </c>
    </row>
    <row r="5" spans="2:14" x14ac:dyDescent="0.3">
      <c r="B5">
        <f>Sócios!B4</f>
        <v>2</v>
      </c>
      <c r="C5" t="str">
        <f>Sócios!D4</f>
        <v>Rodrigo Capelas</v>
      </c>
      <c r="N5">
        <f t="shared" ref="N5:N13" si="0">SUM(D5:M5)</f>
        <v>0</v>
      </c>
    </row>
    <row r="6" spans="2:14" x14ac:dyDescent="0.3">
      <c r="B6">
        <f>Sócios!B5</f>
        <v>3</v>
      </c>
      <c r="C6" t="str">
        <f>Sócios!D5</f>
        <v>José Silva</v>
      </c>
      <c r="N6">
        <f t="shared" si="0"/>
        <v>0</v>
      </c>
    </row>
    <row r="7" spans="2:14" x14ac:dyDescent="0.3">
      <c r="B7">
        <f>Sócios!B6</f>
        <v>4</v>
      </c>
      <c r="C7" t="str">
        <f>Sócios!D6</f>
        <v>Henrique Carvalho</v>
      </c>
      <c r="N7">
        <f t="shared" si="0"/>
        <v>0</v>
      </c>
    </row>
    <row r="8" spans="2:14" x14ac:dyDescent="0.3">
      <c r="B8">
        <f>Sócios!B7</f>
        <v>5</v>
      </c>
      <c r="C8" t="str">
        <f>Sócios!D7</f>
        <v>João Castro</v>
      </c>
      <c r="N8">
        <f t="shared" si="0"/>
        <v>0</v>
      </c>
    </row>
    <row r="9" spans="2:14" x14ac:dyDescent="0.3">
      <c r="B9">
        <f>Sócios!B8</f>
        <v>6</v>
      </c>
      <c r="C9" t="str">
        <f>Sócios!D8</f>
        <v>Nicolau Teixeira</v>
      </c>
      <c r="N9">
        <f t="shared" si="0"/>
        <v>0</v>
      </c>
    </row>
    <row r="10" spans="2:14" x14ac:dyDescent="0.3">
      <c r="B10">
        <f>Sócios!B9</f>
        <v>7</v>
      </c>
      <c r="C10" t="str">
        <f>Sócios!D9</f>
        <v>Inês Oliveira</v>
      </c>
      <c r="N10">
        <f t="shared" si="0"/>
        <v>0</v>
      </c>
    </row>
    <row r="11" spans="2:14" x14ac:dyDescent="0.3">
      <c r="B11">
        <f>Sócios!B10</f>
        <v>8</v>
      </c>
      <c r="C11" t="str">
        <f>Sócios!D10</f>
        <v>David Moreira</v>
      </c>
      <c r="N11">
        <f t="shared" si="0"/>
        <v>0</v>
      </c>
    </row>
    <row r="12" spans="2:14" x14ac:dyDescent="0.3">
      <c r="B12">
        <f>Sócios!B11</f>
        <v>9</v>
      </c>
      <c r="C12" t="str">
        <f>Sócios!D11</f>
        <v>João Nakamura</v>
      </c>
      <c r="N12">
        <f t="shared" si="0"/>
        <v>0</v>
      </c>
    </row>
    <row r="13" spans="2:14" x14ac:dyDescent="0.3">
      <c r="B13">
        <f>Sócios!B12</f>
        <v>10</v>
      </c>
      <c r="C13" t="str">
        <f>Sócios!D12</f>
        <v>Mateus Rocchi</v>
      </c>
      <c r="N13">
        <f t="shared" si="0"/>
        <v>0</v>
      </c>
    </row>
    <row r="14" spans="2:14" x14ac:dyDescent="0.3">
      <c r="B14">
        <f>Sócios!B13</f>
        <v>11</v>
      </c>
      <c r="C14">
        <f>Sócios!D13</f>
        <v>0</v>
      </c>
    </row>
    <row r="15" spans="2:14" x14ac:dyDescent="0.3">
      <c r="B15">
        <f>Sócios!B14</f>
        <v>12</v>
      </c>
      <c r="C15">
        <f>Sócios!D14</f>
        <v>0</v>
      </c>
    </row>
    <row r="16" spans="2:14" x14ac:dyDescent="0.3">
      <c r="B16">
        <f>Sócios!B15</f>
        <v>13</v>
      </c>
      <c r="C16">
        <f>Sócios!D15</f>
        <v>0</v>
      </c>
    </row>
    <row r="17" spans="2:3" x14ac:dyDescent="0.3">
      <c r="B17">
        <f>Sócios!B16</f>
        <v>14</v>
      </c>
      <c r="C17">
        <f>Sócios!D16</f>
        <v>0</v>
      </c>
    </row>
    <row r="18" spans="2:3" x14ac:dyDescent="0.3">
      <c r="B18">
        <f>Sócios!B17</f>
        <v>15</v>
      </c>
      <c r="C18">
        <f>Sócios!D17</f>
        <v>0</v>
      </c>
    </row>
    <row r="19" spans="2:3" x14ac:dyDescent="0.3">
      <c r="B19">
        <f>Sócios!B18</f>
        <v>16</v>
      </c>
      <c r="C19">
        <f>Sócios!D18</f>
        <v>0</v>
      </c>
    </row>
    <row r="20" spans="2:3" x14ac:dyDescent="0.3">
      <c r="B20">
        <f>Sócios!B19</f>
        <v>17</v>
      </c>
      <c r="C20">
        <f>Sócios!D19</f>
        <v>0</v>
      </c>
    </row>
  </sheetData>
  <mergeCells count="1">
    <mergeCell ref="D2:M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8DC03-B868-441E-9D20-36B4ED21992A}">
  <dimension ref="A1"/>
  <sheetViews>
    <sheetView workbookViewId="0">
      <selection activeCell="H18" sqref="H18"/>
    </sheetView>
  </sheetViews>
  <sheetFormatPr defaultRowHeight="14.4" x14ac:dyDescent="0.3"/>
  <sheetData>
    <row r="1" spans="1:1" x14ac:dyDescent="0.3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Sócios</vt:lpstr>
      <vt:lpstr>Cargos Associativos</vt:lpstr>
      <vt:lpstr>Quotas 2026</vt:lpstr>
      <vt:lpstr>Quotas anos anteriores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 Set</dc:creator>
  <cp:lastModifiedBy>Rui Cesar Salvado Alves</cp:lastModifiedBy>
  <dcterms:created xsi:type="dcterms:W3CDTF">2026-02-04T11:15:20Z</dcterms:created>
  <dcterms:modified xsi:type="dcterms:W3CDTF">2026-08-11T23:09:10Z</dcterms:modified>
</cp:coreProperties>
</file>