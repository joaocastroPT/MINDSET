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2 - SS AEISEP (Porto)\Peças escritas\"/>
    </mc:Choice>
  </mc:AlternateContent>
  <xr:revisionPtr revIDLastSave="0" documentId="13_ncr:1_{905CE3EB-83D6-4EF2-AB46-BC2ACAE491D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F24" i="1" s="1"/>
  <c r="D15" i="1"/>
  <c r="E15" i="1" s="1"/>
  <c r="F15" i="1" s="1"/>
  <c r="D21" i="1"/>
  <c r="E21" i="1" s="1"/>
  <c r="F21" i="1" s="1"/>
  <c r="D18" i="1"/>
  <c r="E18" i="1" s="1"/>
  <c r="F18" i="1" s="1"/>
  <c r="D12" i="1"/>
  <c r="E12" i="1" s="1"/>
  <c r="F12" i="1" s="1"/>
  <c r="F58" i="1" s="1"/>
</calcChain>
</file>

<file path=xl/sharedStrings.xml><?xml version="1.0" encoding="utf-8"?>
<sst xmlns="http://schemas.openxmlformats.org/spreadsheetml/2006/main" count="34" uniqueCount="34">
  <si>
    <t>PROPOSTA DE FORNECIMENTO</t>
  </si>
  <si>
    <t>[NIF do cliente]</t>
  </si>
  <si>
    <t>DESIGNAÇÃO / DESCRIÇÃO</t>
  </si>
  <si>
    <t>PREÇO/UN (€)</t>
  </si>
  <si>
    <t>SUB-TOTAL (€)</t>
  </si>
  <si>
    <t>TOTAL (€)</t>
  </si>
  <si>
    <t>AE ISEP</t>
  </si>
  <si>
    <t>MINDSET soundsystem</t>
  </si>
  <si>
    <t>CLIENTE:</t>
  </si>
  <si>
    <t>NIF:</t>
  </si>
  <si>
    <t>CONDIÇÕES PAGAMENTO: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</si>
  <si>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</si>
  <si>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</si>
  <si>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</si>
  <si>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</si>
  <si>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</si>
  <si>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</si>
  <si>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</si>
  <si>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</si>
  <si>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>2º</t>
  </si>
  <si>
    <t>Audibax 1202 FX USB</t>
  </si>
  <si>
    <t>Mesa de mistura 12 canais analógica (4 mic pre + 4 linha + USB)</t>
  </si>
  <si>
    <t>Audibax Arkansas 8</t>
  </si>
  <si>
    <t>Coluna ativa 2 vias 8" c/ Bluetooth, 80W RMS, XLR/RCA/1/8"</t>
  </si>
  <si>
    <t>Audibax MC XLR 164 30</t>
  </si>
  <si>
    <t>Stage Box 30m — 16 ins / 4 outs</t>
  </si>
  <si>
    <t>Cabo XLR/XLR 50m</t>
  </si>
  <si>
    <t>3-Pin XLR c/ fichas Amphenol</t>
  </si>
  <si>
    <t>TOTAL S/ IVA</t>
  </si>
  <si>
    <t>NOTAS: Portes de envio a decidir. Preços por unidade apresentados não incluem IVA.Orçamento sujeito a revisões.</t>
  </si>
  <si>
    <t>Pré-pagamento</t>
  </si>
  <si>
    <t xml:space="preserve">Acessórios e Utilitários </t>
  </si>
  <si>
    <t>Conectores, junções, etc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</si>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</sst>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8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4" fontId="4" fillId="4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0" fillId="0" borderId="10" xfId="0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15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9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16" fontId="15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7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1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11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4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right" vertical="center"/>
    </xf>
    <xf numFmtId="4" fontId="0" fillId="2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showGridLines="0" tabSelected="1" view="pageBreakPreview" zoomScale="70" zoomScaleNormal="85" zoomScaleSheetLayoutView="70" zoomScalePageLayoutView="85" workbookViewId="0">
      <selection activeCell="C2" sqref="C2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35"/>
      <c r="B2" s="36"/>
      <c r="C2" s="36"/>
      <c r="D2" s="37"/>
      <c r="E2" s="55" t="s">
        <v>0</v>
      </c>
      <c r="F2" s="55"/>
      <c r="G2" s="38"/>
    </row>
    <row r="3" spans="1:7" ht="7.5" customHeight="1" x14ac:dyDescent="0.3">
      <c r="A3" s="1"/>
      <c r="G3" s="2"/>
    </row>
    <row r="4" spans="1:7" ht="18" customHeight="1" x14ac:dyDescent="0.3">
      <c r="A4" s="1"/>
      <c r="B4" s="14" t="s">
        <v>12</v>
      </c>
      <c r="C4" s="15" t="s">
        <v>19</v>
      </c>
      <c r="D4" s="16"/>
      <c r="E4" s="17" t="s">
        <v>8</v>
      </c>
      <c r="F4" s="15" t="s">
        <v>6</v>
      </c>
      <c r="G4" s="2"/>
    </row>
    <row r="5" spans="1:7" ht="18" customHeight="1" x14ac:dyDescent="0.3">
      <c r="A5" s="1"/>
      <c r="B5" s="18" t="s">
        <v>13</v>
      </c>
      <c r="C5" s="19">
        <v>46137</v>
      </c>
      <c r="D5" s="20"/>
      <c r="E5" s="21" t="s">
        <v>9</v>
      </c>
      <c r="F5" s="22" t="s">
        <v>1</v>
      </c>
      <c r="G5" s="2"/>
    </row>
    <row r="6" spans="1:7" ht="24" customHeight="1" x14ac:dyDescent="0.3">
      <c r="A6" s="1"/>
      <c r="B6" s="18" t="s">
        <v>14</v>
      </c>
      <c r="C6" s="22" t="s">
        <v>33</v>
      </c>
      <c r="D6" s="20"/>
      <c r="E6" s="21" t="s">
        <v>10</v>
      </c>
      <c r="F6" s="23" t="s">
        <v>30</v>
      </c>
      <c r="G6" s="2"/>
    </row>
    <row r="7" spans="1:7" ht="18" customHeight="1" x14ac:dyDescent="0.3">
      <c r="A7" s="25"/>
      <c r="B7" s="18" t="s">
        <v>15</v>
      </c>
      <c r="C7" s="19">
        <v>46147</v>
      </c>
      <c r="D7" s="20"/>
      <c r="E7" s="21" t="s">
        <v>18</v>
      </c>
      <c r="F7" s="24" t="s">
        <v>17</v>
      </c>
      <c r="G7" s="26"/>
    </row>
    <row r="8" spans="1:7" ht="3.75" customHeight="1" x14ac:dyDescent="0.3">
      <c r="A8" s="3"/>
      <c r="B8" s="4"/>
      <c r="C8" s="4"/>
      <c r="D8" s="4"/>
      <c r="E8" s="4"/>
      <c r="F8" s="4"/>
      <c r="G8" s="5"/>
    </row>
    <row r="9" spans="1:7" ht="7.5" customHeight="1" x14ac:dyDescent="0.3">
      <c r="A9" s="27"/>
      <c r="B9" s="28"/>
      <c r="C9" s="28"/>
      <c r="D9" s="28"/>
      <c r="E9" s="28"/>
      <c r="F9" s="28"/>
      <c r="G9" s="29"/>
    </row>
    <row r="10" spans="1:7" ht="21.75" customHeight="1" x14ac:dyDescent="0.3">
      <c r="A10" s="1"/>
      <c r="B10" s="39" t="s">
        <v>16</v>
      </c>
      <c r="C10" s="40" t="s">
        <v>2</v>
      </c>
      <c r="D10" s="41" t="s">
        <v>3</v>
      </c>
      <c r="E10" s="42" t="s">
        <v>4</v>
      </c>
      <c r="F10" s="42" t="s">
        <v>5</v>
      </c>
      <c r="G10" s="2"/>
    </row>
    <row r="11" spans="1:7" ht="6" customHeight="1" x14ac:dyDescent="0.3">
      <c r="A11" s="1"/>
      <c r="B11" s="53">
        <v>1</v>
      </c>
      <c r="C11" s="9"/>
      <c r="D11" s="9"/>
      <c r="E11" s="9"/>
      <c r="F11" s="9"/>
      <c r="G11" s="10"/>
    </row>
    <row r="12" spans="1:7" ht="18" customHeight="1" x14ac:dyDescent="0.3">
      <c r="A12" s="1"/>
      <c r="B12" s="53"/>
      <c r="C12" s="6" t="s">
        <v>20</v>
      </c>
      <c r="D12" s="7">
        <f>102.5*1.13</f>
        <v>115.82499999999999</v>
      </c>
      <c r="E12" s="8">
        <f>B11*D12</f>
        <v>115.82499999999999</v>
      </c>
      <c r="F12" s="13">
        <f>E12</f>
        <v>115.82499999999999</v>
      </c>
      <c r="G12" s="2"/>
    </row>
    <row r="13" spans="1:7" ht="13.5" customHeight="1" x14ac:dyDescent="0.3">
      <c r="A13" s="1"/>
      <c r="B13" s="54"/>
      <c r="C13" s="34" t="s">
        <v>21</v>
      </c>
      <c r="D13" s="30"/>
      <c r="E13" s="30"/>
      <c r="F13" s="30"/>
      <c r="G13" s="2"/>
    </row>
    <row r="14" spans="1:7" ht="6" customHeight="1" x14ac:dyDescent="0.3">
      <c r="A14" s="1"/>
      <c r="B14" s="52">
        <v>2</v>
      </c>
      <c r="C14" s="9"/>
      <c r="D14" s="9"/>
      <c r="E14" s="9"/>
      <c r="F14" s="9"/>
      <c r="G14" s="10"/>
    </row>
    <row r="15" spans="1:7" ht="18" customHeight="1" x14ac:dyDescent="0.3">
      <c r="A15" s="1"/>
      <c r="B15" s="53"/>
      <c r="C15" s="6" t="s">
        <v>22</v>
      </c>
      <c r="D15" s="7">
        <f>101*1.13</f>
        <v>114.13</v>
      </c>
      <c r="E15" s="8">
        <f>D15*B14</f>
        <v>228.26</v>
      </c>
      <c r="F15" s="13">
        <f>E15</f>
        <v>228.26</v>
      </c>
      <c r="G15" s="2"/>
    </row>
    <row r="16" spans="1:7" ht="13.5" customHeight="1" x14ac:dyDescent="0.3">
      <c r="A16" s="1"/>
      <c r="B16" s="54"/>
      <c r="C16" s="34" t="s">
        <v>23</v>
      </c>
      <c r="D16" s="30"/>
      <c r="E16" s="30"/>
      <c r="F16" s="30"/>
      <c r="G16" s="2"/>
    </row>
    <row r="17" spans="1:7" ht="6" customHeight="1" x14ac:dyDescent="0.3">
      <c r="A17" s="1"/>
      <c r="B17" s="52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53"/>
      <c r="C18" s="6" t="s">
        <v>24</v>
      </c>
      <c r="D18" s="7">
        <f>126*1.12</f>
        <v>141.12</v>
      </c>
      <c r="E18" s="8">
        <f>D18*B17</f>
        <v>141.12</v>
      </c>
      <c r="F18" s="13">
        <f>E18</f>
        <v>141.12</v>
      </c>
      <c r="G18" s="2"/>
    </row>
    <row r="19" spans="1:7" ht="13.5" customHeight="1" x14ac:dyDescent="0.3">
      <c r="A19" s="1"/>
      <c r="B19" s="54"/>
      <c r="C19" s="34" t="s">
        <v>25</v>
      </c>
      <c r="D19" s="30"/>
      <c r="E19" s="60"/>
      <c r="F19" s="30"/>
      <c r="G19" s="2"/>
    </row>
    <row r="20" spans="1:7" ht="6" customHeight="1" x14ac:dyDescent="0.3">
      <c r="A20" s="1"/>
      <c r="B20" s="52">
        <v>4</v>
      </c>
      <c r="C20" s="9"/>
      <c r="D20" s="9"/>
      <c r="E20" s="9"/>
      <c r="F20" s="9"/>
      <c r="G20" s="10"/>
    </row>
    <row r="21" spans="1:7" ht="18" customHeight="1" x14ac:dyDescent="0.3">
      <c r="A21" s="1"/>
      <c r="B21" s="53"/>
      <c r="C21" s="6" t="s">
        <v>26</v>
      </c>
      <c r="D21" s="7">
        <f>48*1.12</f>
        <v>53.760000000000005</v>
      </c>
      <c r="E21" s="8">
        <f>B20*D21</f>
        <v>215.04000000000002</v>
      </c>
      <c r="F21" s="13">
        <f>E21</f>
        <v>215.04000000000002</v>
      </c>
      <c r="G21" s="2"/>
    </row>
    <row r="22" spans="1:7" ht="13.5" customHeight="1" x14ac:dyDescent="0.3">
      <c r="A22" s="1"/>
      <c r="B22" s="54"/>
      <c r="C22" s="34" t="s">
        <v>27</v>
      </c>
      <c r="D22" s="30"/>
      <c r="E22" s="30"/>
      <c r="F22" s="30"/>
      <c r="G22" s="2"/>
    </row>
    <row r="23" spans="1:7" ht="6" customHeight="1" x14ac:dyDescent="0.3">
      <c r="A23" s="1"/>
      <c r="B23" s="52">
        <v>1</v>
      </c>
      <c r="C23" s="9"/>
      <c r="D23" s="9"/>
      <c r="E23" s="9"/>
      <c r="F23" s="9"/>
      <c r="G23" s="10"/>
    </row>
    <row r="24" spans="1:7" ht="18" customHeight="1" x14ac:dyDescent="0.3">
      <c r="A24" s="1"/>
      <c r="B24" s="53"/>
      <c r="C24" s="6" t="s">
        <v>31</v>
      </c>
      <c r="D24" s="7">
        <v>50</v>
      </c>
      <c r="E24" s="8">
        <f>D24*B23</f>
        <v>50</v>
      </c>
      <c r="F24" s="13">
        <f>E24</f>
        <v>50</v>
      </c>
      <c r="G24" s="2"/>
    </row>
    <row r="25" spans="1:7" ht="13.5" customHeight="1" x14ac:dyDescent="0.3">
      <c r="A25" s="1"/>
      <c r="B25" s="54"/>
      <c r="C25" s="34" t="s">
        <v>32</v>
      </c>
      <c r="D25" s="30"/>
      <c r="E25" s="30"/>
      <c r="F25" s="30"/>
      <c r="G25" s="2"/>
    </row>
    <row r="26" spans="1:7" ht="7.5" customHeight="1" x14ac:dyDescent="0.3">
      <c r="A26" s="1"/>
      <c r="D26" s="11"/>
      <c r="F26" s="12"/>
      <c r="G26" s="2"/>
    </row>
    <row r="27" spans="1:7" ht="27.75" customHeight="1" x14ac:dyDescent="0.3">
      <c r="A27" s="1"/>
      <c r="G27" s="2"/>
    </row>
    <row r="28" spans="1:7" ht="7.5" customHeight="1" x14ac:dyDescent="0.3">
      <c r="A28" s="1"/>
      <c r="G28" s="2"/>
    </row>
    <row r="29" spans="1:7" ht="7.5" customHeight="1" x14ac:dyDescent="0.3">
      <c r="A29" s="1"/>
      <c r="G29" s="2"/>
    </row>
    <row r="30" spans="1:7" ht="18" customHeight="1" x14ac:dyDescent="0.3">
      <c r="A30" s="1"/>
      <c r="G30" s="2"/>
    </row>
    <row r="31" spans="1:7" ht="7.5" customHeight="1" x14ac:dyDescent="0.3">
      <c r="A31" s="1"/>
      <c r="G31" s="2"/>
    </row>
    <row r="32" spans="1:7" ht="3.75" customHeight="1" x14ac:dyDescent="0.3">
      <c r="A32" s="1"/>
      <c r="G32" s="2"/>
    </row>
    <row r="33" spans="1:7" ht="21.75" customHeight="1" x14ac:dyDescent="0.3">
      <c r="A33" s="1"/>
      <c r="G33" s="2"/>
    </row>
    <row r="34" spans="1:7" x14ac:dyDescent="0.3">
      <c r="A34" s="1"/>
      <c r="G34" s="2"/>
    </row>
    <row r="35" spans="1:7" x14ac:dyDescent="0.3">
      <c r="A35" s="1"/>
      <c r="G35" s="2"/>
    </row>
    <row r="36" spans="1:7" x14ac:dyDescent="0.3">
      <c r="A36" s="1"/>
      <c r="G36" s="2"/>
    </row>
    <row r="37" spans="1:7" x14ac:dyDescent="0.3">
      <c r="A37" s="1"/>
      <c r="G37" s="2"/>
    </row>
    <row r="38" spans="1:7" x14ac:dyDescent="0.3">
      <c r="A38" s="1"/>
      <c r="G38" s="2"/>
    </row>
    <row r="39" spans="1:7" x14ac:dyDescent="0.3">
      <c r="A39" s="1"/>
      <c r="G39" s="2"/>
    </row>
    <row r="40" spans="1:7" x14ac:dyDescent="0.3">
      <c r="A40" s="1"/>
      <c r="G40" s="2"/>
    </row>
    <row r="41" spans="1:7" x14ac:dyDescent="0.3">
      <c r="A41" s="1"/>
      <c r="G41" s="2"/>
    </row>
    <row r="42" spans="1:7" x14ac:dyDescent="0.3">
      <c r="A42" s="1"/>
      <c r="G42" s="2"/>
    </row>
    <row r="43" spans="1:7" x14ac:dyDescent="0.3">
      <c r="A43" s="1"/>
      <c r="G43" s="2"/>
    </row>
    <row r="44" spans="1:7" x14ac:dyDescent="0.3">
      <c r="A44" s="1"/>
      <c r="G44" s="2"/>
    </row>
    <row r="45" spans="1:7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ht="16.8" x14ac:dyDescent="0.3">
      <c r="A58" s="43"/>
      <c r="B58" s="44"/>
      <c r="C58" s="44"/>
      <c r="D58" s="45" t="s">
        <v>28</v>
      </c>
      <c r="E58" s="45"/>
      <c r="F58" s="46">
        <f>SUM(F12,F15,F18,F24,F21)</f>
        <v>750.24499999999989</v>
      </c>
      <c r="G58" s="47"/>
    </row>
    <row r="59" spans="1:7" x14ac:dyDescent="0.3">
      <c r="A59" s="1"/>
      <c r="G59" s="2"/>
    </row>
    <row r="60" spans="1:7" x14ac:dyDescent="0.3">
      <c r="A60" s="56" t="s">
        <v>29</v>
      </c>
      <c r="B60" s="57"/>
      <c r="C60" s="57"/>
      <c r="D60" s="57"/>
      <c r="E60" s="57"/>
      <c r="F60" s="57"/>
      <c r="G60" s="58"/>
    </row>
    <row r="61" spans="1:7" ht="5.4" customHeight="1" x14ac:dyDescent="0.3">
      <c r="A61" s="31"/>
      <c r="B61" s="32"/>
      <c r="C61" s="32"/>
      <c r="D61" s="32"/>
      <c r="E61" s="32"/>
      <c r="F61" s="32"/>
      <c r="G61" s="33"/>
    </row>
    <row r="62" spans="1:7" ht="15" thickBot="1" x14ac:dyDescent="0.35">
      <c r="A62" s="48"/>
      <c r="B62" s="49" t="s">
        <v>7</v>
      </c>
      <c r="C62" s="50"/>
      <c r="D62" s="59" t="s">
        <v>11</v>
      </c>
      <c r="E62" s="59"/>
      <c r="F62" s="59"/>
      <c r="G62" s="51"/>
    </row>
  </sheetData>
  <mergeCells count="8">
    <mergeCell ref="E2:F2"/>
    <mergeCell ref="A60:G60"/>
    <mergeCell ref="D62:F62"/>
    <mergeCell ref="B11:B13"/>
    <mergeCell ref="B14:B16"/>
    <mergeCell ref="B17:B19"/>
    <mergeCell ref="B20:B22"/>
    <mergeCell ref="B23:B25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2026-04-26T18:36:31Z</cp:lastPrinted>
  <dcterms:created xsi:type="dcterms:W3CDTF">2026-04-17T10:27:45Z</dcterms:created>
  <dcterms:modified xsi:type="dcterms:W3CDTF">2026-04-26T18:36:37Z</dcterms:modified>
  <dc:language>en-US</dc:language>
</cp:coreProperties>
</file>