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str\MINDSET\DRIVE\3. Operações\3.1 Projetos\26002 - SS AEISEP (Porto)\Peças escritas\"/>
    </mc:Choice>
  </mc:AlternateContent>
  <xr:revisionPtr revIDLastSave="0" documentId="13_ncr:1_{A27E01D1-6363-4F0C-B65D-1F47FCEF1BB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JETO DE AUDIO" sheetId="1" r:id="rId1"/>
    <sheet name="IVA" sheetId="2" r:id="rId2"/>
  </sheets>
  <definedNames>
    <definedName name="_xlnm.Print_Area" localSheetId="0">'PROJETO DE AUDIO'!$A$1:$G$61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7" i="1" l="1"/>
  <c r="D18" i="1"/>
  <c r="D9" i="2" s="1"/>
  <c r="D15" i="1"/>
  <c r="D8" i="2" s="1"/>
  <c r="F21" i="1"/>
  <c r="D21" i="1"/>
  <c r="D10" i="2" s="1"/>
  <c r="E13" i="2"/>
  <c r="D12" i="2"/>
  <c r="C12" i="2"/>
  <c r="B12" i="2"/>
  <c r="D11" i="2"/>
  <c r="C11" i="2"/>
  <c r="B11" i="2"/>
  <c r="E10" i="2"/>
  <c r="C10" i="2"/>
  <c r="B10" i="2"/>
  <c r="C9" i="2"/>
  <c r="B9" i="2"/>
  <c r="C8" i="2"/>
  <c r="B8" i="2"/>
  <c r="G7" i="2"/>
  <c r="F7" i="2"/>
  <c r="C7" i="2"/>
  <c r="B7" i="2"/>
  <c r="E27" i="1"/>
  <c r="F27" i="1" s="1"/>
  <c r="F13" i="2" l="1"/>
  <c r="G13" i="2" s="1"/>
  <c r="F10" i="2"/>
  <c r="G10" i="2" s="1"/>
  <c r="E12" i="2"/>
  <c r="E15" i="1"/>
  <c r="F15" i="1" s="1"/>
  <c r="E24" i="1"/>
  <c r="E18" i="1"/>
  <c r="F18" i="1" s="1"/>
  <c r="E8" i="2" l="1"/>
  <c r="E9" i="2"/>
  <c r="F24" i="1"/>
  <c r="E11" i="2"/>
  <c r="F12" i="2"/>
  <c r="G12" i="2" s="1"/>
  <c r="F11" i="2" l="1"/>
  <c r="G11" i="2" s="1"/>
  <c r="F9" i="2"/>
  <c r="G9" i="2" s="1"/>
  <c r="F8" i="2"/>
  <c r="E15" i="2"/>
  <c r="C17" i="2" s="1"/>
  <c r="F15" i="2" l="1"/>
  <c r="C18" i="2" s="1"/>
  <c r="G8" i="2"/>
  <c r="G15" i="2" s="1"/>
  <c r="C19" i="2" s="1"/>
</calcChain>
</file>

<file path=xl/sharedStrings.xml><?xml version="1.0" encoding="utf-8"?>
<sst xmlns="http://schemas.openxmlformats.org/spreadsheetml/2006/main" count="50" uniqueCount="50">
  <si>
    <t>DESIGNAÇÃO / DESCRIÇÃO</t>
  </si>
  <si>
    <t>PREÇO/UN (€)</t>
  </si>
  <si>
    <t>SUB-TOTAL (€)</t>
  </si>
  <si>
    <t>AE ISEP</t>
  </si>
  <si>
    <t>MINDSET soundsystem</t>
  </si>
  <si>
    <t>CLIENTE:</t>
  </si>
  <si>
    <t>CONDIÇÕES PAGAMENTO:</t>
  </si>
  <si>
    <t>mind7sound@outllook.com</t>
  </si>
  <si>
    <t xml:space="preserve">PROPOSTA: </t>
  </si>
  <si>
    <t>DATA:</t>
  </si>
  <si>
    <t>VALIDADE:</t>
  </si>
  <si>
    <t>PRAZO ENTREGA:</t>
  </si>
  <si>
    <t>QUANTIDADE</t>
  </si>
  <si>
    <t>1 de 1</t>
  </si>
  <si>
    <t>PAGINAS</t>
  </si>
  <si>
    <t>Audibax Arkansas 8</t>
  </si>
  <si>
    <t>Coluna ativa 2 vias 8" c/ Bluetooth, 80W RMS, XLR/RCA/1/8"</t>
  </si>
  <si>
    <t>Audibax MC XLR 164 30</t>
  </si>
  <si>
    <t>Stage Box 30m — 16 ins / 4 outs</t>
  </si>
  <si>
    <t>Cabo XLR/XLR 50m</t>
  </si>
  <si>
    <t>3-Pin XLR c/ fichas Amphenol</t>
  </si>
  <si>
    <t>Pré-pagamento</t>
  </si>
  <si>
    <t>30 dias</t>
  </si>
  <si>
    <t>A encomendar pelo cliente</t>
  </si>
  <si>
    <t>PROJETO DE AUDIO C/ INSTALAÇÃO E MANUTENÇÃO</t>
  </si>
  <si>
    <t>Parte elétrica e estrutural</t>
  </si>
  <si>
    <t>Restauro e Reabilitação de Coluna</t>
  </si>
  <si>
    <t>2º</t>
  </si>
  <si>
    <t xml:space="preserve">Behringer Xenyx </t>
  </si>
  <si>
    <t>X1832USB</t>
  </si>
  <si>
    <t>NOTAS: Preços por unidade apresentados não incluem IVA.Orçamento sujeito a revisões.</t>
  </si>
  <si>
    <t>1/2 semanas (desde o dia da aprovação)</t>
  </si>
  <si>
    <t>Acessórios de montagem</t>
  </si>
  <si>
    <t>DISCRIMINAÇÃO DE IVA</t>
  </si>
  <si>
    <t>Taxa IVA:</t>
  </si>
  <si>
    <t>QTD</t>
  </si>
  <si>
    <t>DESIGNAÇÃO</t>
  </si>
  <si>
    <t>PREÇO/UN S/IVA (€)</t>
  </si>
  <si>
    <t>SUB-TOTAL S/IVA (€)</t>
  </si>
  <si>
    <t>IVA (€)</t>
  </si>
  <si>
    <t>TOTAL C/IVA (€)</t>
  </si>
  <si>
    <t>Portes de envio</t>
  </si>
  <si>
    <t>TOTAIS</t>
  </si>
  <si>
    <t>Total S/IVA:</t>
  </si>
  <si>
    <t>Total IVA:</t>
  </si>
  <si>
    <t>Total C/IVA:</t>
  </si>
  <si>
    <t>TOTAL c/IVA (€)</t>
  </si>
  <si>
    <t>Abraçadeiras de aluminio/plástico, Fita Termo Retratil, etc.</t>
  </si>
  <si>
    <t>PORTES DE ENVIO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</si>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</sst>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&quot; €&quot;"/>
    <numFmt numFmtId="165" formatCode="_-[$€-2]\ * #,##0.00_-;\-[$€-2]\ * #,##0.00_-;_-[$€-2]\ * &quot;-&quot;??_-;_-@_-"/>
    <numFmt numFmtId="166" formatCode="0.0%"/>
    <numFmt numFmtId="167" formatCode="#,##0.00\ \€;\(#,##0.00\ \€\);\-"/>
    <numFmt numFmtId="168" formatCode="#,##0.00\ \€"/>
    <numFmt numFmtId="169" formatCode="#,##0.000000"/>
  </numFmts>
  <fonts count="26" x14ac:knownFonts="1">
    <font>
      <sz val="11"/>
      <color theme="1"/>
      <name val="Calibri"/>
      <family val="2"/>
      <charset val="1"/>
    </font>
    <font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A1A1A"/>
      <name val="Arial"/>
      <charset val="1"/>
    </font>
    <font>
      <b/>
      <sz val="9"/>
      <color rgb="FF1A1A1A"/>
      <name val="Arial"/>
      <charset val="1"/>
    </font>
    <font>
      <sz val="9"/>
      <color rgb="FF0000FF"/>
      <name val="Arial"/>
      <charset val="1"/>
    </font>
    <font>
      <sz val="9"/>
      <color rgb="FF1A1A1A"/>
      <name val="Arial"/>
      <charset val="1"/>
    </font>
    <font>
      <b/>
      <sz val="8"/>
      <color rgb="FF888888"/>
      <name val="Arial"/>
      <family val="2"/>
    </font>
    <font>
      <i/>
      <sz val="8"/>
      <color rgb="FFFF0000"/>
      <name val="Arial"/>
      <family val="2"/>
    </font>
    <font>
      <b/>
      <sz val="11"/>
      <color theme="0"/>
      <name val="Arial"/>
      <family val="2"/>
    </font>
    <font>
      <b/>
      <sz val="13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0" tint="-0.34998626667073579"/>
      <name val="Arial"/>
      <family val="2"/>
    </font>
    <font>
      <b/>
      <sz val="8"/>
      <color rgb="FF1A1A1A"/>
      <name val="Arial"/>
      <family val="2"/>
    </font>
    <font>
      <b/>
      <sz val="9"/>
      <color rgb="FFFFFFFF"/>
      <name val="Arial"/>
      <family val="2"/>
    </font>
    <font>
      <i/>
      <sz val="7"/>
      <color rgb="FF888888"/>
      <name val="Arial"/>
      <family val="2"/>
    </font>
    <font>
      <b/>
      <sz val="10"/>
      <name val="Arial"/>
      <family val="2"/>
    </font>
    <font>
      <sz val="11"/>
      <name val="Calibri"/>
      <family val="2"/>
      <charset val="1"/>
    </font>
    <font>
      <b/>
      <sz val="9"/>
      <name val="Arial"/>
      <family val="2"/>
    </font>
    <font>
      <sz val="9"/>
      <name val="Arial"/>
      <family val="2"/>
    </font>
    <font>
      <b/>
      <sz val="9"/>
      <color rgb="FF1A1A1A"/>
      <name val="Arial"/>
      <family val="2"/>
    </font>
    <font>
      <b/>
      <sz val="14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theme="0" tint="-0.249977111117893"/>
        <bgColor rgb="FFFF9900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1" tint="0.14999847407452621"/>
        <bgColor rgb="FF333300"/>
      </patternFill>
    </fill>
    <fill>
      <patternFill patternType="solid">
        <fgColor theme="0"/>
        <bgColor rgb="FFF9F9F9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4" fillId="2" borderId="0" xfId="0" applyFont="1" applyFill="1" applyAlignment="1">
      <alignment vertical="center"/>
    </xf>
    <xf numFmtId="4" fontId="5" fillId="2" borderId="0" xfId="0" applyNumberFormat="1" applyFont="1" applyFill="1" applyAlignment="1">
      <alignment horizontal="right" vertical="center"/>
    </xf>
    <xf numFmtId="4" fontId="6" fillId="2" borderId="0" xfId="0" applyNumberFormat="1" applyFont="1" applyFill="1" applyAlignment="1">
      <alignment horizontal="right" vertical="center"/>
    </xf>
    <xf numFmtId="0" fontId="0" fillId="2" borderId="0" xfId="0" applyFill="1"/>
    <xf numFmtId="0" fontId="0" fillId="2" borderId="5" xfId="0" applyFill="1" applyBorder="1"/>
    <xf numFmtId="4" fontId="4" fillId="4" borderId="9" xfId="0" applyNumberFormat="1" applyFont="1" applyFill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0" fontId="13" fillId="0" borderId="10" xfId="0" applyFont="1" applyBorder="1" applyAlignment="1">
      <alignment horizontal="left" vertical="center"/>
    </xf>
    <xf numFmtId="0" fontId="0" fillId="0" borderId="10" xfId="0" applyBorder="1"/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14" fontId="13" fillId="0" borderId="11" xfId="0" applyNumberFormat="1" applyFont="1" applyBorder="1" applyAlignment="1">
      <alignment horizontal="left" vertical="center"/>
    </xf>
    <xf numFmtId="0" fontId="0" fillId="0" borderId="11" xfId="0" applyBorder="1"/>
    <xf numFmtId="0" fontId="7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16" fontId="13" fillId="0" borderId="11" xfId="0" applyNumberFormat="1" applyFont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0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15" fillId="2" borderId="10" xfId="0" applyFont="1" applyFill="1" applyBorder="1" applyAlignment="1">
      <alignment vertical="center"/>
    </xf>
    <xf numFmtId="0" fontId="0" fillId="5" borderId="1" xfId="0" applyFill="1" applyBorder="1"/>
    <xf numFmtId="0" fontId="1" fillId="5" borderId="2" xfId="0" applyFont="1" applyFill="1" applyBorder="1" applyAlignment="1">
      <alignment vertical="center"/>
    </xf>
    <xf numFmtId="0" fontId="0" fillId="5" borderId="3" xfId="0" applyFill="1" applyBorder="1"/>
    <xf numFmtId="0" fontId="14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0" fillId="5" borderId="4" xfId="0" applyFill="1" applyBorder="1"/>
    <xf numFmtId="0" fontId="0" fillId="5" borderId="0" xfId="0" applyFill="1"/>
    <xf numFmtId="0" fontId="9" fillId="5" borderId="0" xfId="0" applyFont="1" applyFill="1" applyAlignment="1">
      <alignment horizontal="right" vertical="center"/>
    </xf>
    <xf numFmtId="164" fontId="10" fillId="5" borderId="0" xfId="0" applyNumberFormat="1" applyFont="1" applyFill="1" applyAlignment="1">
      <alignment horizontal="right" vertical="center"/>
    </xf>
    <xf numFmtId="0" fontId="0" fillId="5" borderId="5" xfId="0" applyFill="1" applyBorder="1"/>
    <xf numFmtId="0" fontId="0" fillId="5" borderId="6" xfId="0" applyFill="1" applyBorder="1"/>
    <xf numFmtId="0" fontId="12" fillId="5" borderId="7" xfId="0" applyFont="1" applyFill="1" applyBorder="1" applyAlignment="1">
      <alignment vertical="center"/>
    </xf>
    <xf numFmtId="0" fontId="0" fillId="5" borderId="7" xfId="0" applyFill="1" applyBorder="1"/>
    <xf numFmtId="0" fontId="0" fillId="5" borderId="8" xfId="0" applyFill="1" applyBorder="1"/>
    <xf numFmtId="4" fontId="0" fillId="2" borderId="10" xfId="0" applyNumberFormat="1" applyFill="1" applyBorder="1"/>
    <xf numFmtId="0" fontId="17" fillId="6" borderId="0" xfId="0" applyFont="1" applyFill="1"/>
    <xf numFmtId="0" fontId="18" fillId="6" borderId="0" xfId="0" applyFont="1" applyFill="1" applyAlignment="1">
      <alignment vertical="center"/>
    </xf>
    <xf numFmtId="4" fontId="19" fillId="6" borderId="0" xfId="0" applyNumberFormat="1" applyFont="1" applyFill="1" applyAlignment="1">
      <alignment horizontal="right" vertical="center"/>
    </xf>
    <xf numFmtId="0" fontId="17" fillId="6" borderId="10" xfId="0" applyFont="1" applyFill="1" applyBorder="1"/>
    <xf numFmtId="0" fontId="20" fillId="2" borderId="0" xfId="0" applyFont="1" applyFill="1" applyAlignment="1">
      <alignment vertical="center"/>
    </xf>
    <xf numFmtId="0" fontId="15" fillId="6" borderId="10" xfId="0" applyFont="1" applyFill="1" applyBorder="1" applyAlignment="1">
      <alignment vertical="center"/>
    </xf>
    <xf numFmtId="165" fontId="13" fillId="0" borderId="11" xfId="0" applyNumberFormat="1" applyFont="1" applyBorder="1" applyAlignment="1">
      <alignment horizontal="left" vertical="center" wrapText="1"/>
    </xf>
    <xf numFmtId="0" fontId="13" fillId="0" borderId="11" xfId="0" applyFont="1" applyBorder="1" applyAlignment="1">
      <alignment horizontal="right" vertical="center" wrapText="1"/>
    </xf>
    <xf numFmtId="0" fontId="13" fillId="0" borderId="10" xfId="0" applyFont="1" applyBorder="1" applyAlignment="1">
      <alignment horizontal="right" vertical="center"/>
    </xf>
    <xf numFmtId="16" fontId="13" fillId="0" borderId="11" xfId="0" applyNumberFormat="1" applyFont="1" applyBorder="1" applyAlignment="1">
      <alignment horizontal="right" vertical="center" wrapText="1"/>
    </xf>
    <xf numFmtId="0" fontId="21" fillId="0" borderId="0" xfId="0" applyFont="1"/>
    <xf numFmtId="0" fontId="22" fillId="0" borderId="0" xfId="0" applyFont="1"/>
    <xf numFmtId="166" fontId="23" fillId="7" borderId="0" xfId="0" applyNumberFormat="1" applyFont="1" applyFill="1" applyAlignment="1">
      <alignment horizontal="center"/>
    </xf>
    <xf numFmtId="0" fontId="22" fillId="8" borderId="0" xfId="0" applyFont="1" applyFill="1"/>
    <xf numFmtId="0" fontId="22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/>
    <xf numFmtId="0" fontId="24" fillId="0" borderId="0" xfId="0" applyFont="1"/>
    <xf numFmtId="0" fontId="22" fillId="8" borderId="0" xfId="0" applyFont="1" applyFill="1" applyAlignment="1">
      <alignment horizontal="right"/>
    </xf>
    <xf numFmtId="0" fontId="0" fillId="8" borderId="0" xfId="0" applyFill="1"/>
    <xf numFmtId="167" fontId="22" fillId="8" borderId="0" xfId="0" applyNumberFormat="1" applyFont="1" applyFill="1"/>
    <xf numFmtId="167" fontId="22" fillId="7" borderId="0" xfId="0" applyNumberFormat="1" applyFont="1" applyFill="1"/>
    <xf numFmtId="168" fontId="0" fillId="0" borderId="0" xfId="0" applyNumberFormat="1"/>
    <xf numFmtId="0" fontId="25" fillId="0" borderId="0" xfId="0" applyFont="1"/>
    <xf numFmtId="168" fontId="25" fillId="7" borderId="0" xfId="0" applyNumberFormat="1" applyFont="1" applyFill="1"/>
    <xf numFmtId="169" fontId="0" fillId="0" borderId="0" xfId="0" applyNumberFormat="1"/>
    <xf numFmtId="0" fontId="11" fillId="5" borderId="2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right" vertical="center"/>
    </xf>
    <xf numFmtId="0" fontId="16" fillId="6" borderId="0" xfId="0" applyFont="1" applyFill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4" fontId="4" fillId="4" borderId="0" xfId="0" applyNumberFormat="1" applyFont="1" applyFill="1" applyAlignment="1">
      <alignment horizontal="center" vertical="center"/>
    </xf>
    <xf numFmtId="4" fontId="4" fillId="4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9F9F9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B8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66265</xdr:colOff>
      <xdr:row>0</xdr:row>
      <xdr:rowOff>1</xdr:rowOff>
    </xdr:from>
    <xdr:to>
      <xdr:col>1</xdr:col>
      <xdr:colOff>722243</xdr:colOff>
      <xdr:row>2</xdr:row>
      <xdr:rowOff>72884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2DF922-0BD1-11CE-AE6A-58966549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5" y="1"/>
          <a:ext cx="861132" cy="858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73B0C2-0298-4E76-ACD4-FB2262E82E09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9f29c837-4c61-4b45-81e5-0c3847217a6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showGridLines="0" tabSelected="1" view="pageBreakPreview" topLeftCell="A38" zoomScaleNormal="85" zoomScaleSheetLayoutView="100" zoomScalePageLayoutView="85" workbookViewId="0">
      <selection activeCell="M46" sqref="M46"/>
    </sheetView>
  </sheetViews>
  <sheetFormatPr defaultColWidth="8.6640625" defaultRowHeight="14.4" x14ac:dyDescent="0.3"/>
  <cols>
    <col min="1" max="1" width="3" customWidth="1"/>
    <col min="2" max="2" width="15.77734375" customWidth="1"/>
    <col min="3" max="3" width="38" customWidth="1"/>
    <col min="4" max="4" width="14" customWidth="1"/>
    <col min="5" max="5" width="19.77734375" bestFit="1" customWidth="1"/>
    <col min="6" max="6" width="15.5546875" bestFit="1" customWidth="1"/>
    <col min="7" max="7" width="3" customWidth="1"/>
    <col min="10" max="10" width="11.5546875" bestFit="1" customWidth="1"/>
  </cols>
  <sheetData>
    <row r="1" spans="1:9" ht="7.5" customHeight="1" thickBot="1" x14ac:dyDescent="0.35"/>
    <row r="2" spans="1:9" ht="54.75" customHeight="1" x14ac:dyDescent="0.3">
      <c r="A2" s="32"/>
      <c r="B2" s="33"/>
      <c r="C2" s="33"/>
      <c r="D2" s="75" t="s">
        <v>24</v>
      </c>
      <c r="E2" s="75"/>
      <c r="F2" s="75"/>
      <c r="G2" s="34"/>
    </row>
    <row r="3" spans="1:9" ht="7.5" customHeight="1" x14ac:dyDescent="0.3">
      <c r="A3" s="1"/>
      <c r="G3" s="2"/>
    </row>
    <row r="4" spans="1:9" ht="18" customHeight="1" x14ac:dyDescent="0.3">
      <c r="A4" s="1"/>
      <c r="B4" s="12" t="s">
        <v>8</v>
      </c>
      <c r="C4" s="13" t="s">
        <v>27</v>
      </c>
      <c r="D4" s="14"/>
      <c r="E4" s="15" t="s">
        <v>5</v>
      </c>
      <c r="F4" s="57" t="s">
        <v>3</v>
      </c>
      <c r="G4" s="2"/>
    </row>
    <row r="5" spans="1:9" ht="18" customHeight="1" x14ac:dyDescent="0.3">
      <c r="A5" s="1"/>
      <c r="B5" s="16" t="s">
        <v>9</v>
      </c>
      <c r="C5" s="17">
        <v>46159</v>
      </c>
      <c r="D5" s="18"/>
      <c r="E5" s="19" t="s">
        <v>6</v>
      </c>
      <c r="F5" s="56" t="s">
        <v>21</v>
      </c>
      <c r="G5" s="2"/>
    </row>
    <row r="6" spans="1:9" ht="24" customHeight="1" x14ac:dyDescent="0.3">
      <c r="A6" s="1"/>
      <c r="B6" s="16" t="s">
        <v>10</v>
      </c>
      <c r="C6" s="20" t="s">
        <v>22</v>
      </c>
      <c r="D6" s="18"/>
      <c r="E6" s="19" t="s">
        <v>48</v>
      </c>
      <c r="F6" s="55">
        <v>10</v>
      </c>
      <c r="G6" s="2"/>
    </row>
    <row r="7" spans="1:9" ht="18" customHeight="1" x14ac:dyDescent="0.3">
      <c r="A7" s="22"/>
      <c r="B7" s="16" t="s">
        <v>11</v>
      </c>
      <c r="C7" s="17" t="s">
        <v>31</v>
      </c>
      <c r="D7" s="18"/>
      <c r="E7" s="19" t="s">
        <v>14</v>
      </c>
      <c r="F7" s="58" t="s">
        <v>13</v>
      </c>
      <c r="G7" s="23"/>
      <c r="H7" s="19"/>
      <c r="I7" s="21"/>
    </row>
    <row r="8" spans="1:9" ht="3.75" customHeight="1" x14ac:dyDescent="0.3">
      <c r="A8" s="3"/>
      <c r="B8" s="4"/>
      <c r="C8" s="4"/>
      <c r="D8" s="4"/>
      <c r="E8" s="4"/>
      <c r="F8" s="4"/>
      <c r="G8" s="5"/>
    </row>
    <row r="9" spans="1:9" ht="7.5" customHeight="1" x14ac:dyDescent="0.3">
      <c r="A9" s="24"/>
      <c r="B9" s="25"/>
      <c r="C9" s="25"/>
      <c r="D9" s="25"/>
      <c r="E9" s="25"/>
      <c r="F9" s="25"/>
      <c r="G9" s="26"/>
    </row>
    <row r="10" spans="1:9" ht="21.75" customHeight="1" x14ac:dyDescent="0.3">
      <c r="A10" s="1"/>
      <c r="B10" s="35" t="s">
        <v>12</v>
      </c>
      <c r="C10" s="36" t="s">
        <v>0</v>
      </c>
      <c r="D10" s="37" t="s">
        <v>1</v>
      </c>
      <c r="E10" s="38" t="s">
        <v>2</v>
      </c>
      <c r="F10" s="38" t="s">
        <v>46</v>
      </c>
      <c r="G10" s="2"/>
    </row>
    <row r="11" spans="1:9" ht="6" customHeight="1" x14ac:dyDescent="0.3">
      <c r="A11" s="1"/>
      <c r="B11" s="80">
        <v>1</v>
      </c>
      <c r="C11" s="49"/>
      <c r="D11" s="49"/>
      <c r="E11" s="49"/>
      <c r="F11" s="49"/>
      <c r="G11" s="10"/>
    </row>
    <row r="12" spans="1:9" ht="18" customHeight="1" x14ac:dyDescent="0.3">
      <c r="A12" s="1"/>
      <c r="B12" s="80"/>
      <c r="C12" s="50" t="s">
        <v>28</v>
      </c>
      <c r="D12" s="51"/>
      <c r="E12" s="85" t="s">
        <v>23</v>
      </c>
      <c r="F12" s="86"/>
      <c r="G12" s="2"/>
    </row>
    <row r="13" spans="1:9" ht="13.5" customHeight="1" x14ac:dyDescent="0.3">
      <c r="A13" s="1"/>
      <c r="B13" s="81"/>
      <c r="C13" s="54" t="s">
        <v>29</v>
      </c>
      <c r="D13" s="52"/>
      <c r="E13" s="52"/>
      <c r="F13" s="52"/>
      <c r="G13" s="2"/>
    </row>
    <row r="14" spans="1:9" ht="6" customHeight="1" x14ac:dyDescent="0.3">
      <c r="A14" s="1"/>
      <c r="B14" s="82">
        <v>2</v>
      </c>
      <c r="C14" s="9"/>
      <c r="D14" s="9"/>
      <c r="E14" s="9"/>
      <c r="F14" s="9"/>
      <c r="G14" s="10"/>
    </row>
    <row r="15" spans="1:9" ht="18" customHeight="1" x14ac:dyDescent="0.3">
      <c r="A15" s="1"/>
      <c r="B15" s="83"/>
      <c r="C15" s="6" t="s">
        <v>15</v>
      </c>
      <c r="D15" s="7">
        <f>101*1</f>
        <v>101</v>
      </c>
      <c r="E15" s="8">
        <f>D15*B14</f>
        <v>202</v>
      </c>
      <c r="F15" s="11">
        <f>E15*1.23</f>
        <v>248.46</v>
      </c>
      <c r="G15" s="2"/>
    </row>
    <row r="16" spans="1:9" ht="13.5" customHeight="1" x14ac:dyDescent="0.3">
      <c r="A16" s="1"/>
      <c r="B16" s="84"/>
      <c r="C16" s="31" t="s">
        <v>16</v>
      </c>
      <c r="D16" s="27"/>
      <c r="E16" s="27"/>
      <c r="F16" s="27"/>
      <c r="G16" s="2"/>
    </row>
    <row r="17" spans="1:10" ht="6" customHeight="1" x14ac:dyDescent="0.3">
      <c r="A17" s="1"/>
      <c r="B17" s="82">
        <v>1</v>
      </c>
      <c r="C17" s="9"/>
      <c r="D17" s="9"/>
      <c r="E17" s="9"/>
      <c r="F17" s="9"/>
      <c r="G17" s="10"/>
    </row>
    <row r="18" spans="1:10" ht="18" customHeight="1" x14ac:dyDescent="0.3">
      <c r="A18" s="1"/>
      <c r="B18" s="83"/>
      <c r="C18" s="6" t="s">
        <v>17</v>
      </c>
      <c r="D18" s="7">
        <f>126*1.254</f>
        <v>158.00399999999999</v>
      </c>
      <c r="E18" s="8">
        <f>D18*B17</f>
        <v>158.00399999999999</v>
      </c>
      <c r="F18" s="11">
        <f>E18*1.23</f>
        <v>194.34491999999997</v>
      </c>
      <c r="G18" s="2"/>
    </row>
    <row r="19" spans="1:10" ht="13.5" customHeight="1" x14ac:dyDescent="0.3">
      <c r="A19" s="1"/>
      <c r="B19" s="84"/>
      <c r="C19" s="31" t="s">
        <v>18</v>
      </c>
      <c r="D19" s="27"/>
      <c r="E19" s="48"/>
      <c r="F19" s="27"/>
      <c r="G19" s="2"/>
    </row>
    <row r="20" spans="1:10" ht="6" customHeight="1" x14ac:dyDescent="0.3">
      <c r="A20" s="1"/>
      <c r="B20" s="82">
        <v>4</v>
      </c>
      <c r="C20" s="9"/>
      <c r="D20" s="9"/>
      <c r="E20" s="9"/>
      <c r="F20" s="9"/>
      <c r="G20" s="10"/>
    </row>
    <row r="21" spans="1:10" ht="18" customHeight="1" x14ac:dyDescent="0.3">
      <c r="A21" s="1"/>
      <c r="B21" s="83"/>
      <c r="C21" s="6" t="s">
        <v>19</v>
      </c>
      <c r="D21" s="7">
        <f>48.386556*1.291655</f>
        <v>62.498736990179999</v>
      </c>
      <c r="E21" s="8">
        <v>250</v>
      </c>
      <c r="F21" s="11">
        <f>E21*1.23</f>
        <v>307.5</v>
      </c>
      <c r="G21" s="2"/>
    </row>
    <row r="22" spans="1:10" ht="13.5" customHeight="1" x14ac:dyDescent="0.3">
      <c r="A22" s="1"/>
      <c r="B22" s="84"/>
      <c r="C22" s="31" t="s">
        <v>20</v>
      </c>
      <c r="D22" s="27"/>
      <c r="E22" s="27"/>
      <c r="F22" s="27"/>
      <c r="G22" s="2"/>
    </row>
    <row r="23" spans="1:10" ht="6" customHeight="1" x14ac:dyDescent="0.3">
      <c r="A23" s="1"/>
      <c r="B23" s="82">
        <v>1</v>
      </c>
      <c r="C23" s="9"/>
      <c r="D23" s="9"/>
      <c r="E23" s="9"/>
      <c r="F23" s="9"/>
      <c r="G23" s="10"/>
    </row>
    <row r="24" spans="1:10" ht="18" customHeight="1" x14ac:dyDescent="0.3">
      <c r="A24" s="1"/>
      <c r="B24" s="83"/>
      <c r="C24" s="53" t="s">
        <v>26</v>
      </c>
      <c r="D24" s="7">
        <v>90</v>
      </c>
      <c r="E24" s="8">
        <f>D24*B23</f>
        <v>90</v>
      </c>
      <c r="F24" s="11">
        <f>E24</f>
        <v>90</v>
      </c>
      <c r="G24" s="2"/>
    </row>
    <row r="25" spans="1:10" ht="13.5" customHeight="1" x14ac:dyDescent="0.3">
      <c r="A25" s="1"/>
      <c r="B25" s="84"/>
      <c r="C25" s="31" t="s">
        <v>25</v>
      </c>
      <c r="D25" s="27"/>
      <c r="E25" s="27"/>
      <c r="F25" s="27"/>
      <c r="G25" s="2"/>
    </row>
    <row r="26" spans="1:10" ht="6" customHeight="1" x14ac:dyDescent="0.3">
      <c r="A26" s="1"/>
      <c r="B26" s="82">
        <v>1</v>
      </c>
      <c r="D26" s="9"/>
      <c r="E26" s="9"/>
      <c r="F26" s="9"/>
      <c r="G26" s="10"/>
    </row>
    <row r="27" spans="1:10" ht="18" customHeight="1" x14ac:dyDescent="0.3">
      <c r="A27" s="1"/>
      <c r="B27" s="83"/>
      <c r="C27" s="53" t="s">
        <v>32</v>
      </c>
      <c r="D27" s="7">
        <v>20</v>
      </c>
      <c r="E27" s="8">
        <f>D27*B26</f>
        <v>20</v>
      </c>
      <c r="F27" s="11">
        <f>E27</f>
        <v>20</v>
      </c>
      <c r="G27" s="2"/>
    </row>
    <row r="28" spans="1:10" ht="13.5" customHeight="1" x14ac:dyDescent="0.3">
      <c r="A28" s="1"/>
      <c r="B28" s="84"/>
      <c r="C28" s="31" t="s">
        <v>47</v>
      </c>
      <c r="D28" s="27"/>
      <c r="E28" s="27"/>
      <c r="F28" s="27"/>
      <c r="G28" s="2"/>
      <c r="J28" s="74"/>
    </row>
    <row r="29" spans="1:10" ht="18" customHeight="1" x14ac:dyDescent="0.3">
      <c r="A29" s="1"/>
      <c r="G29" s="2"/>
    </row>
    <row r="30" spans="1:10" ht="7.5" customHeight="1" x14ac:dyDescent="0.3">
      <c r="A30" s="1"/>
      <c r="G30" s="2"/>
    </row>
    <row r="31" spans="1:10" ht="3.75" customHeight="1" x14ac:dyDescent="0.3">
      <c r="A31" s="1"/>
      <c r="G31" s="2"/>
    </row>
    <row r="32" spans="1:10" ht="21.75" customHeight="1" x14ac:dyDescent="0.3">
      <c r="A32" s="1"/>
      <c r="G32" s="2"/>
    </row>
    <row r="33" spans="1:7" x14ac:dyDescent="0.3">
      <c r="A33" s="1"/>
      <c r="G33" s="2"/>
    </row>
    <row r="34" spans="1:7" x14ac:dyDescent="0.3">
      <c r="A34" s="1"/>
      <c r="G34" s="2"/>
    </row>
    <row r="35" spans="1:7" x14ac:dyDescent="0.3">
      <c r="A35" s="1"/>
      <c r="G35" s="2"/>
    </row>
    <row r="36" spans="1:7" x14ac:dyDescent="0.3">
      <c r="A36" s="1"/>
      <c r="G36" s="2"/>
    </row>
    <row r="37" spans="1:7" x14ac:dyDescent="0.3">
      <c r="A37" s="1"/>
      <c r="G37" s="2"/>
    </row>
    <row r="38" spans="1:7" x14ac:dyDescent="0.3">
      <c r="A38" s="1"/>
      <c r="G38" s="2"/>
    </row>
    <row r="39" spans="1:7" x14ac:dyDescent="0.3">
      <c r="A39" s="1"/>
      <c r="G39" s="2"/>
    </row>
    <row r="40" spans="1:7" x14ac:dyDescent="0.3">
      <c r="A40" s="1"/>
      <c r="G40" s="2"/>
    </row>
    <row r="41" spans="1:7" x14ac:dyDescent="0.3">
      <c r="A41" s="1"/>
      <c r="G41" s="2"/>
    </row>
    <row r="42" spans="1:7" x14ac:dyDescent="0.3">
      <c r="A42" s="1"/>
      <c r="G42" s="2"/>
    </row>
    <row r="43" spans="1:7" x14ac:dyDescent="0.3">
      <c r="A43" s="1"/>
      <c r="G43" s="2"/>
    </row>
    <row r="44" spans="1:7" x14ac:dyDescent="0.3">
      <c r="A44" s="1"/>
      <c r="G44" s="2"/>
    </row>
    <row r="45" spans="1:7" x14ac:dyDescent="0.3">
      <c r="A45" s="1"/>
      <c r="G45" s="2"/>
    </row>
    <row r="46" spans="1:7" x14ac:dyDescent="0.3">
      <c r="A46" s="1"/>
      <c r="G46" s="2"/>
    </row>
    <row r="47" spans="1:7" x14ac:dyDescent="0.3">
      <c r="A47" s="1"/>
      <c r="G47" s="2"/>
    </row>
    <row r="48" spans="1:7" x14ac:dyDescent="0.3">
      <c r="A48" s="1"/>
      <c r="G48" s="2"/>
    </row>
    <row r="49" spans="1:7" x14ac:dyDescent="0.3">
      <c r="A49" s="1"/>
      <c r="G49" s="2"/>
    </row>
    <row r="50" spans="1:7" x14ac:dyDescent="0.3">
      <c r="A50" s="1"/>
      <c r="G50" s="2"/>
    </row>
    <row r="51" spans="1:7" x14ac:dyDescent="0.3">
      <c r="A51" s="1"/>
      <c r="G51" s="2"/>
    </row>
    <row r="52" spans="1:7" x14ac:dyDescent="0.3">
      <c r="A52" s="1"/>
      <c r="G52" s="2"/>
    </row>
    <row r="53" spans="1:7" x14ac:dyDescent="0.3">
      <c r="A53" s="1"/>
      <c r="G53" s="2"/>
    </row>
    <row r="54" spans="1:7" x14ac:dyDescent="0.3">
      <c r="A54" s="1"/>
      <c r="G54" s="2"/>
    </row>
    <row r="55" spans="1:7" x14ac:dyDescent="0.3">
      <c r="A55" s="1"/>
      <c r="G55" s="2"/>
    </row>
    <row r="56" spans="1:7" x14ac:dyDescent="0.3">
      <c r="A56" s="1"/>
      <c r="G56" s="2"/>
    </row>
    <row r="57" spans="1:7" ht="16.8" x14ac:dyDescent="0.3">
      <c r="A57" s="39"/>
      <c r="B57" s="40"/>
      <c r="C57" s="40"/>
      <c r="D57" s="41" t="s">
        <v>49</v>
      </c>
      <c r="E57" s="41"/>
      <c r="F57" s="42">
        <f>SUM(F15,F18,F21,F6,F24,F27)</f>
        <v>870.30492000000004</v>
      </c>
      <c r="G57" s="43"/>
    </row>
    <row r="58" spans="1:7" x14ac:dyDescent="0.3">
      <c r="A58" s="1"/>
      <c r="G58" s="2"/>
    </row>
    <row r="59" spans="1:7" x14ac:dyDescent="0.3">
      <c r="A59" s="76" t="s">
        <v>30</v>
      </c>
      <c r="B59" s="77"/>
      <c r="C59" s="77"/>
      <c r="D59" s="77"/>
      <c r="E59" s="77"/>
      <c r="F59" s="77"/>
      <c r="G59" s="78"/>
    </row>
    <row r="60" spans="1:7" ht="5.4" customHeight="1" x14ac:dyDescent="0.3">
      <c r="A60" s="28"/>
      <c r="B60" s="29"/>
      <c r="C60" s="29"/>
      <c r="D60" s="29"/>
      <c r="E60" s="29"/>
      <c r="F60" s="29"/>
      <c r="G60" s="30"/>
    </row>
    <row r="61" spans="1:7" ht="15" thickBot="1" x14ac:dyDescent="0.35">
      <c r="A61" s="44"/>
      <c r="B61" s="45" t="s">
        <v>4</v>
      </c>
      <c r="C61" s="46"/>
      <c r="D61" s="79" t="s">
        <v>7</v>
      </c>
      <c r="E61" s="79"/>
      <c r="F61" s="79"/>
      <c r="G61" s="47"/>
    </row>
  </sheetData>
  <mergeCells count="10">
    <mergeCell ref="D2:F2"/>
    <mergeCell ref="A59:G59"/>
    <mergeCell ref="D61:F61"/>
    <mergeCell ref="B11:B13"/>
    <mergeCell ref="B14:B16"/>
    <mergeCell ref="B17:B19"/>
    <mergeCell ref="B20:B22"/>
    <mergeCell ref="B23:B25"/>
    <mergeCell ref="E12:F12"/>
    <mergeCell ref="B26:B28"/>
  </mergeCells>
  <pageMargins left="0.4" right="0.4" top="0.4" bottom="0.4" header="0.511811023622047" footer="0.511811023622047"/>
  <pageSetup paperSize="9" scale="87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6EBC-FF62-4F1F-90F1-D44BE4882F5B}">
  <dimension ref="B2:G19"/>
  <sheetViews>
    <sheetView topLeftCell="B1" workbookViewId="0"/>
  </sheetViews>
  <sheetFormatPr defaultRowHeight="14.4" x14ac:dyDescent="0.3"/>
  <cols>
    <col min="2" max="2" width="27" bestFit="1" customWidth="1"/>
    <col min="3" max="3" width="74.5546875" bestFit="1" customWidth="1"/>
    <col min="4" max="4" width="18.5546875" bestFit="1" customWidth="1"/>
    <col min="5" max="5" width="18.88671875" bestFit="1" customWidth="1"/>
    <col min="6" max="6" width="8" bestFit="1" customWidth="1"/>
    <col min="7" max="7" width="14.77734375" bestFit="1" customWidth="1"/>
  </cols>
  <sheetData>
    <row r="2" spans="2:7" ht="18" x14ac:dyDescent="0.35">
      <c r="B2" s="59" t="s">
        <v>33</v>
      </c>
    </row>
    <row r="4" spans="2:7" x14ac:dyDescent="0.3">
      <c r="B4" s="60" t="s">
        <v>34</v>
      </c>
      <c r="C4" s="61">
        <v>0.23</v>
      </c>
    </row>
    <row r="6" spans="2:7" x14ac:dyDescent="0.3">
      <c r="B6" s="63" t="s">
        <v>35</v>
      </c>
      <c r="C6" s="62" t="s">
        <v>36</v>
      </c>
      <c r="D6" s="63" t="s">
        <v>37</v>
      </c>
      <c r="E6" s="63" t="s">
        <v>38</v>
      </c>
      <c r="F6" s="63" t="s">
        <v>39</v>
      </c>
      <c r="G6" s="63" t="s">
        <v>40</v>
      </c>
    </row>
    <row r="7" spans="2:7" x14ac:dyDescent="0.3">
      <c r="B7" s="64">
        <f>'PROJETO DE AUDIO'!B11</f>
        <v>1</v>
      </c>
      <c r="C7" t="str">
        <f>'PROJETO DE AUDIO'!C12&amp;" "&amp;'PROJETO DE AUDIO'!C13</f>
        <v>Behringer Xenyx  X1832USB</v>
      </c>
      <c r="D7" s="65"/>
      <c r="E7" s="65"/>
      <c r="F7" s="65">
        <f t="shared" ref="F7:F13" si="0">E7*$C$4</f>
        <v>0</v>
      </c>
      <c r="G7" s="65">
        <f t="shared" ref="G7:G13" si="1">E7+F7</f>
        <v>0</v>
      </c>
    </row>
    <row r="8" spans="2:7" x14ac:dyDescent="0.3">
      <c r="B8" s="64">
        <f>'PROJETO DE AUDIO'!B14</f>
        <v>2</v>
      </c>
      <c r="C8" t="str">
        <f>'PROJETO DE AUDIO'!C15&amp;" "&amp;'PROJETO DE AUDIO'!C16</f>
        <v>Audibax Arkansas 8 Coluna ativa 2 vias 8" c/ Bluetooth, 80W RMS, XLR/RCA/1/8"</v>
      </c>
      <c r="D8" s="65">
        <f>'PROJETO DE AUDIO'!D15</f>
        <v>101</v>
      </c>
      <c r="E8" s="65">
        <f>'PROJETO DE AUDIO'!E15</f>
        <v>202</v>
      </c>
      <c r="F8" s="65">
        <f t="shared" si="0"/>
        <v>46.46</v>
      </c>
      <c r="G8" s="65">
        <f t="shared" si="1"/>
        <v>248.46</v>
      </c>
    </row>
    <row r="9" spans="2:7" x14ac:dyDescent="0.3">
      <c r="B9" s="64">
        <f>'PROJETO DE AUDIO'!B17</f>
        <v>1</v>
      </c>
      <c r="C9" t="str">
        <f>'PROJETO DE AUDIO'!C18&amp;" "&amp;'PROJETO DE AUDIO'!C19</f>
        <v>Audibax MC XLR 164 30 Stage Box 30m — 16 ins / 4 outs</v>
      </c>
      <c r="D9" s="65">
        <f>'PROJETO DE AUDIO'!D18</f>
        <v>158.00399999999999</v>
      </c>
      <c r="E9" s="65">
        <f>'PROJETO DE AUDIO'!E18</f>
        <v>158.00399999999999</v>
      </c>
      <c r="F9" s="65">
        <f t="shared" si="0"/>
        <v>36.340919999999997</v>
      </c>
      <c r="G9" s="65">
        <f t="shared" si="1"/>
        <v>194.34492</v>
      </c>
    </row>
    <row r="10" spans="2:7" x14ac:dyDescent="0.3">
      <c r="B10" s="64">
        <f>'PROJETO DE AUDIO'!B20</f>
        <v>4</v>
      </c>
      <c r="C10" t="str">
        <f>'PROJETO DE AUDIO'!C21&amp;" "&amp;'PROJETO DE AUDIO'!C22</f>
        <v>Cabo XLR/XLR 50m 3-Pin XLR c/ fichas Amphenol</v>
      </c>
      <c r="D10" s="65">
        <f>'PROJETO DE AUDIO'!D21</f>
        <v>62.498736990179999</v>
      </c>
      <c r="E10" s="65">
        <f>'PROJETO DE AUDIO'!E21</f>
        <v>250</v>
      </c>
      <c r="F10" s="65">
        <f t="shared" si="0"/>
        <v>57.5</v>
      </c>
      <c r="G10" s="65">
        <f t="shared" si="1"/>
        <v>307.5</v>
      </c>
    </row>
    <row r="11" spans="2:7" x14ac:dyDescent="0.3">
      <c r="B11" s="64">
        <f>'PROJETO DE AUDIO'!B23</f>
        <v>1</v>
      </c>
      <c r="C11" t="str">
        <f>'PROJETO DE AUDIO'!C24&amp;" "&amp;'PROJETO DE AUDIO'!C25</f>
        <v>Restauro e Reabilitação de Coluna Parte elétrica e estrutural</v>
      </c>
      <c r="D11" s="65">
        <f>'PROJETO DE AUDIO'!D24</f>
        <v>90</v>
      </c>
      <c r="E11" s="65">
        <f>'PROJETO DE AUDIO'!E24</f>
        <v>90</v>
      </c>
      <c r="F11" s="65">
        <f t="shared" si="0"/>
        <v>20.7</v>
      </c>
      <c r="G11" s="65">
        <f t="shared" si="1"/>
        <v>110.7</v>
      </c>
    </row>
    <row r="12" spans="2:7" x14ac:dyDescent="0.3">
      <c r="B12" s="64">
        <f>'PROJETO DE AUDIO'!B26</f>
        <v>1</v>
      </c>
      <c r="C12" t="str">
        <f>'PROJETO DE AUDIO'!C27&amp;" "&amp;'PROJETO DE AUDIO'!C28</f>
        <v>Acessórios de montagem Abraçadeiras de aluminio/plástico, Fita Termo Retratil, etc.</v>
      </c>
      <c r="D12" s="65">
        <f>'PROJETO DE AUDIO'!D27</f>
        <v>20</v>
      </c>
      <c r="E12" s="65">
        <f>'PROJETO DE AUDIO'!E27</f>
        <v>20</v>
      </c>
      <c r="F12" s="65">
        <f t="shared" si="0"/>
        <v>4.6000000000000005</v>
      </c>
      <c r="G12" s="65">
        <f t="shared" si="1"/>
        <v>24.6</v>
      </c>
    </row>
    <row r="13" spans="2:7" x14ac:dyDescent="0.3">
      <c r="C13" s="66" t="s">
        <v>41</v>
      </c>
      <c r="E13" s="65">
        <f>'PROJETO DE AUDIO'!F6</f>
        <v>10</v>
      </c>
      <c r="F13" s="65">
        <f t="shared" si="0"/>
        <v>2.3000000000000003</v>
      </c>
      <c r="G13" s="65">
        <f t="shared" si="1"/>
        <v>12.3</v>
      </c>
    </row>
    <row r="15" spans="2:7" x14ac:dyDescent="0.3">
      <c r="C15" s="67" t="s">
        <v>42</v>
      </c>
      <c r="D15" s="68"/>
      <c r="E15" s="69">
        <f>SUM(E7:E13)</f>
        <v>730.00400000000002</v>
      </c>
      <c r="F15" s="69">
        <f>SUM(F7:F13)</f>
        <v>167.90091999999999</v>
      </c>
      <c r="G15" s="70">
        <f>SUM(G7:G13)</f>
        <v>897.90492000000006</v>
      </c>
    </row>
    <row r="17" spans="2:3" x14ac:dyDescent="0.3">
      <c r="B17" s="60" t="s">
        <v>43</v>
      </c>
      <c r="C17" s="71">
        <f>E15</f>
        <v>730.00400000000002</v>
      </c>
    </row>
    <row r="18" spans="2:3" x14ac:dyDescent="0.3">
      <c r="B18" s="60" t="s">
        <v>44</v>
      </c>
      <c r="C18" s="71">
        <f>F15</f>
        <v>167.90091999999999</v>
      </c>
    </row>
    <row r="19" spans="2:3" ht="15.6" x14ac:dyDescent="0.3">
      <c r="B19" s="72" t="s">
        <v>45</v>
      </c>
      <c r="C19" s="73">
        <f>G15</f>
        <v>897.90492000000006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PROJETO DE AUDIO</vt:lpstr>
      <vt:lpstr>IVA</vt:lpstr>
      <vt:lpstr>'PROJETO DE AUDIO'!Print_Area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Miguel Pinto Castro</cp:lastModifiedBy>
  <cp:revision>0</cp:revision>
  <cp:lastPrinted>2026-05-16T13:44:19Z</cp:lastPrinted>
  <dcterms:created xsi:type="dcterms:W3CDTF">2026-04-17T10:27:45Z</dcterms:created>
  <dcterms:modified xsi:type="dcterms:W3CDTF">2026-05-16T13:44:24Z</dcterms:modified>
  <dc:language>en-US</dc:language>
</cp:coreProperties>
</file>