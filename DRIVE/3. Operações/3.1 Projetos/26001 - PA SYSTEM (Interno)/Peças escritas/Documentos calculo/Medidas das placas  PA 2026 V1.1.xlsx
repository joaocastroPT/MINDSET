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f760cd2ef29e19/M7Sound/3. Operações/3.1 Projetos/3.1.1 PA 2026/Documentos calculo/"/>
    </mc:Choice>
  </mc:AlternateContent>
  <xr:revisionPtr revIDLastSave="365" documentId="8_{AC61FC89-2113-4731-8930-C5DF22809E04}" xr6:coauthVersionLast="47" xr6:coauthVersionMax="47" xr10:uidLastSave="{8A3EAAC7-8C1B-4D32-81BF-76C01DB90C36}"/>
  <bookViews>
    <workbookView xWindow="-108" yWindow="-108" windowWidth="23256" windowHeight="12456" activeTab="4" xr2:uid="{27D43F9A-A5E1-4498-9B8C-479199483B56}"/>
  </bookViews>
  <sheets>
    <sheet name="TOP XX" sheetId="4" r:id="rId1"/>
    <sheet name="MID XX" sheetId="1" r:id="rId2"/>
    <sheet name="KICK XX" sheetId="2" r:id="rId3"/>
    <sheet name="SUB XX" sheetId="3" r:id="rId4"/>
    <sheet name="Ger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5" l="1"/>
  <c r="K7" i="5"/>
  <c r="K5" i="5"/>
  <c r="K4" i="5"/>
  <c r="K3" i="5"/>
  <c r="H51" i="5"/>
  <c r="H38" i="5"/>
  <c r="H25" i="5"/>
</calcChain>
</file>

<file path=xl/sharedStrings.xml><?xml version="1.0" encoding="utf-8"?>
<sst xmlns="http://schemas.openxmlformats.org/spreadsheetml/2006/main" count="287" uniqueCount="68">
  <si>
    <t>placa</t>
  </si>
  <si>
    <t>Topo e chão</t>
  </si>
  <si>
    <t>x</t>
  </si>
  <si>
    <t>Lados</t>
  </si>
  <si>
    <t>Costas</t>
  </si>
  <si>
    <t>Meio</t>
  </si>
  <si>
    <t>Cavidade Horn</t>
  </si>
  <si>
    <t>QT.</t>
  </si>
  <si>
    <t>Notas</t>
  </si>
  <si>
    <t>Furo central  Ø 156mm</t>
  </si>
  <si>
    <t>Projeção (topo e chão)</t>
  </si>
  <si>
    <t>Projeção (lados fora)</t>
  </si>
  <si>
    <t>Projeção (Lados dentro)</t>
  </si>
  <si>
    <t>Cortes angulares (Detalhe na Peça desenhada)</t>
  </si>
  <si>
    <t>Lados frente</t>
  </si>
  <si>
    <t>Decorativo Frente</t>
  </si>
  <si>
    <t>Divisão das cavidades</t>
  </si>
  <si>
    <t>Cavidades (trás)</t>
  </si>
  <si>
    <t>Cavidades (lados )</t>
  </si>
  <si>
    <t>Placa de driver</t>
  </si>
  <si>
    <t>Furo central  Ø 305mm</t>
  </si>
  <si>
    <t>Estrutura</t>
  </si>
  <si>
    <t>Frente exterior</t>
  </si>
  <si>
    <t>Lados de cima</t>
  </si>
  <si>
    <t>Lados de baixo</t>
  </si>
  <si>
    <t>Divisória do meio</t>
  </si>
  <si>
    <t>Topo e chão cavidade de baixo</t>
  </si>
  <si>
    <t>Cruz vertical</t>
  </si>
  <si>
    <t>Cruz horizontal</t>
  </si>
  <si>
    <t>Placa de Driver</t>
  </si>
  <si>
    <t>Interior</t>
  </si>
  <si>
    <t>Furo central  Ø 457mm</t>
  </si>
  <si>
    <t>Cavidade superior A</t>
  </si>
  <si>
    <t>Cavidade superior B</t>
  </si>
  <si>
    <t>Cavidade superior C</t>
  </si>
  <si>
    <t>Cavidade superior D</t>
  </si>
  <si>
    <t>Cavidade superior E</t>
  </si>
  <si>
    <t>Cavidade superior F</t>
  </si>
  <si>
    <t>Cavidade inferior A</t>
  </si>
  <si>
    <t>Cavidade inferior B</t>
  </si>
  <si>
    <t>Cavidade inferior C</t>
  </si>
  <si>
    <t>Cavidade inferior D</t>
  </si>
  <si>
    <t>Decoração exterior</t>
  </si>
  <si>
    <t>TOP XX</t>
  </si>
  <si>
    <t>MID_Fane mid</t>
  </si>
  <si>
    <t>placa nº</t>
  </si>
  <si>
    <t>Descrição</t>
  </si>
  <si>
    <t>Comprimento</t>
  </si>
  <si>
    <t>Largura</t>
  </si>
  <si>
    <t>Column1</t>
  </si>
  <si>
    <t>KICK_Fane mid</t>
  </si>
  <si>
    <t>Medidas gerais (CxLxA) (cm):</t>
  </si>
  <si>
    <t>57,6 x 42,3 x 64,8</t>
  </si>
  <si>
    <t>Area Total (m^2):</t>
  </si>
  <si>
    <t>69,9 x 53,3,3 x 56,9</t>
  </si>
  <si>
    <t>KICK_Paraflex C-2D</t>
  </si>
  <si>
    <t>SUB_Hugo Scoop 1.6</t>
  </si>
  <si>
    <t>57,6 x 42,3,3 x 56,9</t>
  </si>
  <si>
    <t>Totais</t>
  </si>
  <si>
    <t>Sub</t>
  </si>
  <si>
    <t>Kick</t>
  </si>
  <si>
    <t>Mid</t>
  </si>
  <si>
    <t>18mm</t>
  </si>
  <si>
    <t>Espessura das placas:</t>
  </si>
  <si>
    <t>High</t>
  </si>
  <si>
    <t>Margem</t>
  </si>
  <si>
    <t>Área total específica</t>
  </si>
  <si>
    <t>Área total a adquirir (m^2)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</si>
</sst>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1" xfId="0" applyNumberFormat="1" applyBorder="1" applyAlignment="1">
      <alignment horizontal="left" wrapText="1"/>
    </xf>
    <xf numFmtId="0" fontId="0" fillId="4" borderId="10" xfId="0" applyFill="1" applyBorder="1" applyAlignment="1">
      <alignment horizontal="right"/>
    </xf>
    <xf numFmtId="0" fontId="0" fillId="4" borderId="1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0" fillId="5" borderId="0" xfId="0" applyFill="1"/>
    <xf numFmtId="0" fontId="0" fillId="5" borderId="0" xfId="0" applyFill="1" applyAlignment="1">
      <alignment horizontal="right"/>
    </xf>
    <xf numFmtId="164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/>
    <xf numFmtId="9" fontId="0" fillId="5" borderId="0" xfId="0" applyNumberFormat="1" applyFill="1"/>
    <xf numFmtId="1" fontId="0" fillId="5" borderId="0" xfId="0" applyNumberFormat="1" applyFill="1"/>
  </cellXfs>
  <cellStyles count="1">
    <cellStyle name="Normal" xfId="0" builtinId="0"/>
  </cellStyles>
  <dxfs count="4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</dxf>
  </dxfs>
  <tableStyles count="1" defaultTableStyle="TableStyleMedium2" defaultPivotStyle="PivotStyleLight16">
    <tableStyle name="Table Style 1" pivot="0" count="0" xr9:uid="{EFDAFB9F-6D9F-4663-89CA-A39CE9C5A6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1BF27-771D-4F29-A419-3B62D63D6A0A}" name="Table1" displayName="Table1" ref="B3:H12" totalsRowShown="0" headerRowDxfId="43" dataDxfId="42">
  <autoFilter ref="B3:H12" xr:uid="{E881BF27-771D-4F29-A419-3B62D63D6A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DC6AB73-DAF5-4289-9F13-4FB6B51FBB89}" name="placa nº" dataDxfId="41"/>
    <tableColumn id="2" xr3:uid="{127892C2-CEAD-4E89-A813-A118615DD210}" name="Descrição"/>
    <tableColumn id="3" xr3:uid="{97871443-795B-44C7-93CA-FAABDCB3948F}" name="Comprimento" dataDxfId="40"/>
    <tableColumn id="4" xr3:uid="{85A6BE7A-13B5-47C8-A4C1-AB38DE1BD724}" name="Column1" dataDxfId="39"/>
    <tableColumn id="5" xr3:uid="{53B781AE-AA7B-44E2-90AB-C3A9CDC6D445}" name="Largura" dataDxfId="38"/>
    <tableColumn id="6" xr3:uid="{B1071CB6-1C71-4D5C-87D1-491614B91865}" name="QT." dataDxfId="37"/>
    <tableColumn id="7" xr3:uid="{B4244FE7-97C7-46E4-A3FA-7FCA60531AE4}" name="Notas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5E4DD-AD75-4A46-A2DE-84899965D7B8}" name="Table2" displayName="Table2" ref="B3:H12" totalsRowShown="0" headerRowDxfId="36" dataDxfId="35">
  <autoFilter ref="B3:H12" xr:uid="{A365E4DD-AD75-4A46-A2DE-84899965D7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AAE2289-ED39-4139-A7FB-4D7CCD86C787}" name="placa nº" dataDxfId="34"/>
    <tableColumn id="2" xr3:uid="{421A707B-CCE6-408A-9376-B6F4B0D870AA}" name="Descrição"/>
    <tableColumn id="3" xr3:uid="{ECC30DAA-F3B0-4614-A0DD-15E3067E2722}" name="Comprimento" dataDxfId="33"/>
    <tableColumn id="4" xr3:uid="{2F6B1339-D9F5-4500-B699-BB4E210C5F26}" name="Column1"/>
    <tableColumn id="5" xr3:uid="{614675CC-0038-4312-B628-01CA60CDBE27}" name="Largura" dataDxfId="32"/>
    <tableColumn id="6" xr3:uid="{72837C84-EC61-4FBF-9D3A-0A5E92EC68F9}" name="QT." dataDxfId="31"/>
    <tableColumn id="7" xr3:uid="{5F3A50F8-E2A8-462A-8903-C1B7DE6B9265}" name="Notas"/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C84486-C3B6-40C6-A0F6-DEB2FC35BE34}" name="Table4" displayName="Table4" ref="B3:H24" totalsRowShown="0" headerRowDxfId="30" dataDxfId="29">
  <autoFilter ref="B3:H24" xr:uid="{44C84486-C3B6-40C6-A0F6-DEB2FC35BE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8F41854-A262-4A44-AAE5-9D5385AE1763}" name="placa nº" dataDxfId="28"/>
    <tableColumn id="2" xr3:uid="{F5D50CF4-0278-4B1B-A68E-DD6EFC197A6F}" name="Descrição" dataDxfId="27"/>
    <tableColumn id="3" xr3:uid="{725CFFDD-26F5-4CBA-9EC6-C80DD7038FCC}" name="Comprimento" dataDxfId="26"/>
    <tableColumn id="4" xr3:uid="{B3BF2391-6DA3-4059-8905-8C354B7DC4F5}" name="Column1" dataDxfId="25"/>
    <tableColumn id="5" xr3:uid="{86A35A52-8EEA-4C22-89F7-9EFE2EA45997}" name="Largura" dataDxfId="24"/>
    <tableColumn id="6" xr3:uid="{26C06A0E-6C89-4337-BCAC-0C95252EF703}" name="QT." dataDxfId="23"/>
    <tableColumn id="7" xr3:uid="{2179BB47-1B56-4A51-B069-9BDA6E8E503C}" name="Notas" dataDxfId="22"/>
  </tableColumns>
  <tableStyleInfo name="TableStyleDark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ED6037-4585-48D1-B9D7-86DF022E09CC}" name="Table47" displayName="Table47" ref="B3:H26" totalsRowShown="0" headerRowDxfId="21" dataDxfId="20">
  <autoFilter ref="B3:H26" xr:uid="{0CED6037-4585-48D1-B9D7-86DF022E09CC}"/>
  <tableColumns count="7">
    <tableColumn id="1" xr3:uid="{80D726B5-97E8-4598-B8C9-A5CD7F17EB53}" name="placa nº" dataDxfId="19"/>
    <tableColumn id="2" xr3:uid="{6970A925-8B54-484C-81DD-C27CEEB3F4EC}" name="Descrição" dataDxfId="18"/>
    <tableColumn id="3" xr3:uid="{B3C07B77-8E9E-4E2D-82D9-246718547FC3}" name="Comprimento" dataDxfId="17"/>
    <tableColumn id="4" xr3:uid="{764795F2-950F-49DF-B335-CBEDBF275867}" name="Column1" dataDxfId="16"/>
    <tableColumn id="5" xr3:uid="{DCD7EECF-E16A-45AD-ADA2-DC78B42B05D2}" name="Largura" dataDxfId="15"/>
    <tableColumn id="6" xr3:uid="{46F99797-4EEA-4906-8FDF-46E312C990FB}" name="QT." dataDxfId="14"/>
    <tableColumn id="7" xr3:uid="{00FD7B34-C002-4ED9-BD75-6F9016AB19D5}" name="Notas" dataDxfId="13"/>
  </tableColumns>
  <tableStyleInfo name="TableStyleDark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807799-6EDA-4D77-9FA2-FA6CC7515E26}" name="Table28" displayName="Table28" ref="B28:H39" totalsRowShown="0" headerRowDxfId="12" dataDxfId="11">
  <autoFilter ref="B28:H39" xr:uid="{EA807799-6EDA-4D77-9FA2-FA6CC7515E26}"/>
  <tableColumns count="7">
    <tableColumn id="1" xr3:uid="{55D6052A-37E2-429B-A078-8E336B0375B5}" name="placa nº" dataDxfId="10"/>
    <tableColumn id="2" xr3:uid="{3FD4CAEC-3FE8-4D8E-B13F-64940EAF8D9A}" name="Descrição"/>
    <tableColumn id="3" xr3:uid="{971ADAAF-4C54-42EF-9BB8-DD824704904D}" name="Comprimento" dataDxfId="9"/>
    <tableColumn id="4" xr3:uid="{C415107C-6642-45DC-9E16-2C4C708259BB}" name="Column1"/>
    <tableColumn id="5" xr3:uid="{DA413EB5-FADD-438C-95B9-4F6D3DEFD717}" name="Largura" dataDxfId="8"/>
    <tableColumn id="6" xr3:uid="{BD20BCA8-99BB-416D-A3E3-304907F4C567}" name="QT." dataDxfId="7"/>
    <tableColumn id="7" xr3:uid="{93C12E22-2503-4D1E-BA2F-734F989AD146}" name="Notas"/>
  </tableColumns>
  <tableStyleInfo name="TableStyleDark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DFE12F-C531-4298-BDA0-6ABF043002C5}" name="Table19" displayName="Table19" ref="B41:H52" totalsRowShown="0" headerRowDxfId="6" dataDxfId="5">
  <autoFilter ref="B41:H52" xr:uid="{07DFE12F-C531-4298-BDA0-6ABF043002C5}"/>
  <tableColumns count="7">
    <tableColumn id="1" xr3:uid="{3E447F73-9F77-46AB-A0C2-9E8D1148530F}" name="placa nº" dataDxfId="4"/>
    <tableColumn id="2" xr3:uid="{0416F1FF-7E98-4AD8-AD11-A3487F36060D}" name="Descrição"/>
    <tableColumn id="3" xr3:uid="{41F6EFCC-6D49-47F1-96E0-201FA79F03D8}" name="Comprimento" dataDxfId="3"/>
    <tableColumn id="4" xr3:uid="{5829F14E-8D9A-47FF-977B-EF3319B8FC42}" name="Column1" dataDxfId="2"/>
    <tableColumn id="5" xr3:uid="{BDCD5C73-9AF9-4836-A0DF-4EB0DF455AC5}" name="Largura" dataDxfId="1"/>
    <tableColumn id="6" xr3:uid="{27285A56-D702-43A7-B06C-BCC910EEEED9}" name="QT." dataDxfId="0"/>
    <tableColumn id="7" xr3:uid="{139529D2-F806-4AA9-AFA2-6F580032F92A}" name="Notas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E329-8A35-4957-B7C3-59A2F077D7A6}">
  <dimension ref="B2:H12"/>
  <sheetViews>
    <sheetView zoomScale="85" zoomScaleNormal="85" workbookViewId="0">
      <selection activeCell="D6" sqref="D6"/>
    </sheetView>
  </sheetViews>
  <sheetFormatPr defaultRowHeight="14.4" x14ac:dyDescent="0.3"/>
  <cols>
    <col min="3" max="3" width="21.109375" bestFit="1" customWidth="1"/>
  </cols>
  <sheetData>
    <row r="2" spans="2:8" x14ac:dyDescent="0.3">
      <c r="B2" t="s">
        <v>43</v>
      </c>
    </row>
    <row r="3" spans="2:8" x14ac:dyDescent="0.3">
      <c r="B3" t="s">
        <v>0</v>
      </c>
      <c r="G3" t="s">
        <v>7</v>
      </c>
      <c r="H3" t="s">
        <v>8</v>
      </c>
    </row>
    <row r="4" spans="2:8" x14ac:dyDescent="0.3">
      <c r="B4">
        <v>1</v>
      </c>
      <c r="C4" t="s">
        <v>1</v>
      </c>
      <c r="D4">
        <v>578</v>
      </c>
      <c r="E4" t="s">
        <v>2</v>
      </c>
      <c r="F4">
        <v>300</v>
      </c>
      <c r="G4">
        <v>2</v>
      </c>
    </row>
    <row r="5" spans="2:8" x14ac:dyDescent="0.3">
      <c r="B5">
        <v>2</v>
      </c>
      <c r="C5" t="s">
        <v>3</v>
      </c>
      <c r="D5">
        <v>249</v>
      </c>
      <c r="E5" t="s">
        <v>2</v>
      </c>
      <c r="F5">
        <v>153</v>
      </c>
      <c r="G5">
        <v>2</v>
      </c>
    </row>
    <row r="6" spans="2:8" x14ac:dyDescent="0.3">
      <c r="B6">
        <v>3</v>
      </c>
      <c r="C6" t="s">
        <v>4</v>
      </c>
      <c r="E6" t="s">
        <v>2</v>
      </c>
      <c r="G6">
        <v>1</v>
      </c>
    </row>
    <row r="7" spans="2:8" x14ac:dyDescent="0.3">
      <c r="B7">
        <v>4</v>
      </c>
      <c r="C7" t="s">
        <v>5</v>
      </c>
      <c r="E7" t="s">
        <v>2</v>
      </c>
      <c r="G7">
        <v>1</v>
      </c>
    </row>
    <row r="8" spans="2:8" x14ac:dyDescent="0.3">
      <c r="B8">
        <v>5</v>
      </c>
      <c r="C8" t="s">
        <v>6</v>
      </c>
      <c r="E8" t="s">
        <v>2</v>
      </c>
      <c r="G8">
        <v>2</v>
      </c>
    </row>
    <row r="9" spans="2:8" x14ac:dyDescent="0.3">
      <c r="B9">
        <v>6</v>
      </c>
      <c r="C9" t="s">
        <v>19</v>
      </c>
      <c r="E9" t="s">
        <v>2</v>
      </c>
      <c r="G9">
        <v>1</v>
      </c>
      <c r="H9" t="s">
        <v>9</v>
      </c>
    </row>
    <row r="10" spans="2:8" x14ac:dyDescent="0.3">
      <c r="B10">
        <v>7</v>
      </c>
      <c r="C10" t="s">
        <v>10</v>
      </c>
      <c r="E10" t="s">
        <v>2</v>
      </c>
      <c r="G10">
        <v>2</v>
      </c>
      <c r="H10" t="s">
        <v>13</v>
      </c>
    </row>
    <row r="11" spans="2:8" x14ac:dyDescent="0.3">
      <c r="B11">
        <v>8</v>
      </c>
      <c r="C11" t="s">
        <v>11</v>
      </c>
      <c r="E11" t="s">
        <v>2</v>
      </c>
      <c r="G11">
        <v>2</v>
      </c>
      <c r="H11" t="s">
        <v>13</v>
      </c>
    </row>
    <row r="12" spans="2:8" x14ac:dyDescent="0.3">
      <c r="B12">
        <v>9</v>
      </c>
      <c r="C12" t="s">
        <v>12</v>
      </c>
      <c r="E12" t="s">
        <v>2</v>
      </c>
      <c r="G12">
        <v>2</v>
      </c>
      <c r="H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FEFD-06B0-4881-8ED9-BAE5BA6E13D9}">
  <dimension ref="B2:H13"/>
  <sheetViews>
    <sheetView zoomScale="190" zoomScaleNormal="190" workbookViewId="0">
      <selection activeCell="E21" sqref="E21"/>
    </sheetView>
  </sheetViews>
  <sheetFormatPr defaultRowHeight="14.4" x14ac:dyDescent="0.3"/>
  <cols>
    <col min="3" max="3" width="24.77734375" customWidth="1"/>
    <col min="4" max="4" width="12.21875" customWidth="1"/>
    <col min="5" max="5" width="2.88671875" customWidth="1"/>
    <col min="8" max="8" width="39.33203125" bestFit="1" customWidth="1"/>
  </cols>
  <sheetData>
    <row r="2" spans="2:8" x14ac:dyDescent="0.3">
      <c r="B2" s="23" t="s">
        <v>44</v>
      </c>
      <c r="C2" s="23"/>
      <c r="D2" s="23"/>
      <c r="E2" s="23"/>
      <c r="F2" s="23"/>
      <c r="G2" s="23"/>
      <c r="H2" s="23"/>
    </row>
    <row r="3" spans="2:8" x14ac:dyDescent="0.3">
      <c r="B3" s="4" t="s">
        <v>45</v>
      </c>
      <c r="C3" s="2" t="s">
        <v>46</v>
      </c>
      <c r="D3" s="4" t="s">
        <v>47</v>
      </c>
      <c r="E3" s="3" t="s">
        <v>49</v>
      </c>
      <c r="F3" s="4" t="s">
        <v>48</v>
      </c>
      <c r="G3" s="4" t="s">
        <v>7</v>
      </c>
      <c r="H3" s="2" t="s">
        <v>8</v>
      </c>
    </row>
    <row r="4" spans="2:8" x14ac:dyDescent="0.3">
      <c r="B4" s="1">
        <v>1</v>
      </c>
      <c r="C4" t="s">
        <v>1</v>
      </c>
      <c r="D4" s="1">
        <v>576</v>
      </c>
      <c r="E4" s="1" t="s">
        <v>2</v>
      </c>
      <c r="F4" s="1">
        <v>423</v>
      </c>
      <c r="G4" s="1">
        <v>2</v>
      </c>
    </row>
    <row r="5" spans="2:8" x14ac:dyDescent="0.3">
      <c r="B5" s="1">
        <v>2</v>
      </c>
      <c r="C5" t="s">
        <v>3</v>
      </c>
      <c r="D5" s="1">
        <v>612</v>
      </c>
      <c r="E5" s="1" t="s">
        <v>2</v>
      </c>
      <c r="F5" s="1">
        <v>423</v>
      </c>
      <c r="G5" s="1">
        <v>2</v>
      </c>
    </row>
    <row r="6" spans="2:8" x14ac:dyDescent="0.3">
      <c r="B6" s="1">
        <v>3</v>
      </c>
      <c r="C6" t="s">
        <v>4</v>
      </c>
      <c r="D6" s="1">
        <v>612</v>
      </c>
      <c r="E6" s="1" t="s">
        <v>2</v>
      </c>
      <c r="F6" s="1">
        <v>544</v>
      </c>
      <c r="G6" s="1">
        <v>1</v>
      </c>
    </row>
    <row r="7" spans="2:8" x14ac:dyDescent="0.3">
      <c r="B7" s="1">
        <v>4</v>
      </c>
      <c r="C7" t="s">
        <v>5</v>
      </c>
      <c r="D7" s="1">
        <v>544</v>
      </c>
      <c r="E7" s="1" t="s">
        <v>2</v>
      </c>
      <c r="F7" s="1">
        <v>405</v>
      </c>
      <c r="G7" s="1">
        <v>1</v>
      </c>
    </row>
    <row r="8" spans="2:8" x14ac:dyDescent="0.3">
      <c r="B8" s="1">
        <v>5</v>
      </c>
      <c r="C8" t="s">
        <v>6</v>
      </c>
      <c r="D8" s="1">
        <v>544</v>
      </c>
      <c r="E8" s="1" t="s">
        <v>2</v>
      </c>
      <c r="F8" s="1">
        <v>220</v>
      </c>
      <c r="G8" s="1">
        <v>2</v>
      </c>
    </row>
    <row r="9" spans="2:8" x14ac:dyDescent="0.3">
      <c r="B9" s="1">
        <v>6</v>
      </c>
      <c r="C9" t="s">
        <v>19</v>
      </c>
      <c r="D9" s="1">
        <v>544</v>
      </c>
      <c r="E9" s="1" t="s">
        <v>2</v>
      </c>
      <c r="F9" s="1">
        <v>374</v>
      </c>
      <c r="G9" s="1">
        <v>1</v>
      </c>
      <c r="H9" t="s">
        <v>9</v>
      </c>
    </row>
    <row r="10" spans="2:8" x14ac:dyDescent="0.3">
      <c r="B10" s="1">
        <v>7</v>
      </c>
      <c r="C10" t="s">
        <v>10</v>
      </c>
      <c r="D10" s="1">
        <v>544</v>
      </c>
      <c r="E10" s="1" t="s">
        <v>2</v>
      </c>
      <c r="F10" s="1">
        <v>273</v>
      </c>
      <c r="G10" s="1">
        <v>2</v>
      </c>
      <c r="H10" t="s">
        <v>13</v>
      </c>
    </row>
    <row r="11" spans="2:8" x14ac:dyDescent="0.3">
      <c r="B11" s="1">
        <v>8</v>
      </c>
      <c r="C11" t="s">
        <v>12</v>
      </c>
      <c r="D11" s="1">
        <v>260</v>
      </c>
      <c r="E11" s="1" t="s">
        <v>2</v>
      </c>
      <c r="F11" s="1">
        <v>144</v>
      </c>
      <c r="G11" s="1">
        <v>2</v>
      </c>
      <c r="H11" t="s">
        <v>13</v>
      </c>
    </row>
    <row r="12" spans="2:8" x14ac:dyDescent="0.3">
      <c r="B12" s="1">
        <v>9</v>
      </c>
      <c r="C12" t="s">
        <v>11</v>
      </c>
      <c r="D12" s="1">
        <v>374</v>
      </c>
      <c r="E12" s="1" t="s">
        <v>2</v>
      </c>
      <c r="F12" s="1">
        <v>188</v>
      </c>
      <c r="G12" s="1">
        <v>2</v>
      </c>
      <c r="H12" t="s">
        <v>13</v>
      </c>
    </row>
    <row r="13" spans="2:8" x14ac:dyDescent="0.3">
      <c r="B13" s="1"/>
      <c r="D13" s="1"/>
      <c r="E13" s="1"/>
      <c r="F13" s="1"/>
      <c r="G13" s="1"/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855D-0F3B-425A-984A-977AD90E1F6C}">
  <dimension ref="B2:H12"/>
  <sheetViews>
    <sheetView zoomScale="115" zoomScaleNormal="115" workbookViewId="0">
      <selection activeCell="B2" sqref="B2:H12"/>
    </sheetView>
  </sheetViews>
  <sheetFormatPr defaultRowHeight="14.4" x14ac:dyDescent="0.3"/>
  <cols>
    <col min="2" max="2" width="9.44140625" customWidth="1"/>
    <col min="3" max="3" width="20.21875" bestFit="1" customWidth="1"/>
    <col min="4" max="4" width="13.88671875" customWidth="1"/>
    <col min="5" max="5" width="2.21875" customWidth="1"/>
    <col min="6" max="6" width="8.88671875" customWidth="1"/>
    <col min="8" max="8" width="39" bestFit="1" customWidth="1"/>
  </cols>
  <sheetData>
    <row r="2" spans="2:8" x14ac:dyDescent="0.3">
      <c r="B2" s="23" t="s">
        <v>50</v>
      </c>
      <c r="C2" s="23"/>
      <c r="D2" s="23"/>
      <c r="E2" s="23"/>
      <c r="F2" s="23"/>
      <c r="G2" s="23"/>
      <c r="H2" s="23"/>
    </row>
    <row r="3" spans="2:8" x14ac:dyDescent="0.3">
      <c r="B3" s="4" t="s">
        <v>45</v>
      </c>
      <c r="C3" s="2" t="s">
        <v>46</v>
      </c>
      <c r="D3" s="4" t="s">
        <v>47</v>
      </c>
      <c r="E3" s="3" t="s">
        <v>49</v>
      </c>
      <c r="F3" s="4" t="s">
        <v>48</v>
      </c>
      <c r="G3" s="4" t="s">
        <v>7</v>
      </c>
      <c r="H3" s="2" t="s">
        <v>8</v>
      </c>
    </row>
    <row r="4" spans="2:8" x14ac:dyDescent="0.3">
      <c r="B4" s="1">
        <v>1</v>
      </c>
      <c r="C4" t="s">
        <v>1</v>
      </c>
      <c r="D4" s="1">
        <v>699</v>
      </c>
      <c r="E4" t="s">
        <v>2</v>
      </c>
      <c r="F4" s="1">
        <v>533</v>
      </c>
      <c r="G4" s="1">
        <v>2</v>
      </c>
    </row>
    <row r="5" spans="2:8" x14ac:dyDescent="0.3">
      <c r="B5" s="1">
        <v>2</v>
      </c>
      <c r="C5" t="s">
        <v>3</v>
      </c>
      <c r="D5" s="1">
        <v>533</v>
      </c>
      <c r="E5" t="s">
        <v>2</v>
      </c>
      <c r="F5" s="1">
        <v>533</v>
      </c>
      <c r="G5" s="1">
        <v>2</v>
      </c>
    </row>
    <row r="6" spans="2:8" x14ac:dyDescent="0.3">
      <c r="B6" s="1">
        <v>3</v>
      </c>
      <c r="C6" t="s">
        <v>4</v>
      </c>
      <c r="D6" s="1">
        <v>663</v>
      </c>
      <c r="E6" t="s">
        <v>2</v>
      </c>
      <c r="F6" s="1">
        <v>497</v>
      </c>
      <c r="G6" s="1">
        <v>1</v>
      </c>
    </row>
    <row r="7" spans="2:8" x14ac:dyDescent="0.3">
      <c r="B7" s="1">
        <v>4</v>
      </c>
      <c r="C7" t="s">
        <v>14</v>
      </c>
      <c r="D7" s="1">
        <v>497</v>
      </c>
      <c r="E7" t="s">
        <v>2</v>
      </c>
      <c r="F7" s="1">
        <v>87</v>
      </c>
      <c r="G7" s="1">
        <v>1</v>
      </c>
    </row>
    <row r="8" spans="2:8" x14ac:dyDescent="0.3">
      <c r="B8" s="1">
        <v>5</v>
      </c>
      <c r="C8" t="s">
        <v>15</v>
      </c>
      <c r="D8" s="1">
        <v>369</v>
      </c>
      <c r="E8" t="s">
        <v>2</v>
      </c>
      <c r="F8" s="1">
        <v>50</v>
      </c>
      <c r="G8" s="1">
        <v>4</v>
      </c>
    </row>
    <row r="9" spans="2:8" x14ac:dyDescent="0.3">
      <c r="B9" s="1">
        <v>6</v>
      </c>
      <c r="C9" t="s">
        <v>16</v>
      </c>
      <c r="D9" s="1">
        <v>497</v>
      </c>
      <c r="E9" t="s">
        <v>2</v>
      </c>
      <c r="F9" s="1">
        <v>82</v>
      </c>
      <c r="G9" s="1">
        <v>1</v>
      </c>
    </row>
    <row r="10" spans="2:8" x14ac:dyDescent="0.3">
      <c r="B10" s="1">
        <v>7</v>
      </c>
      <c r="C10" t="s">
        <v>17</v>
      </c>
      <c r="D10" s="1">
        <v>497</v>
      </c>
      <c r="E10" t="s">
        <v>2</v>
      </c>
      <c r="F10" s="1">
        <v>177</v>
      </c>
      <c r="G10" s="1">
        <v>2</v>
      </c>
    </row>
    <row r="11" spans="2:8" x14ac:dyDescent="0.3">
      <c r="B11" s="1">
        <v>8</v>
      </c>
      <c r="C11" t="s">
        <v>18</v>
      </c>
      <c r="D11" s="1">
        <v>497</v>
      </c>
      <c r="E11" t="s">
        <v>2</v>
      </c>
      <c r="F11" s="1">
        <v>369</v>
      </c>
      <c r="G11" s="1">
        <v>2</v>
      </c>
    </row>
    <row r="12" spans="2:8" x14ac:dyDescent="0.3">
      <c r="B12" s="1">
        <v>9</v>
      </c>
      <c r="C12" t="s">
        <v>19</v>
      </c>
      <c r="D12" s="1">
        <v>663</v>
      </c>
      <c r="E12" t="s">
        <v>2</v>
      </c>
      <c r="F12" s="1">
        <v>497</v>
      </c>
      <c r="G12" s="1">
        <v>1</v>
      </c>
      <c r="H12" t="s">
        <v>20</v>
      </c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A8AB-00A6-43B9-B709-F3C1AAAC3F27}">
  <dimension ref="A2:H24"/>
  <sheetViews>
    <sheetView zoomScale="115" zoomScaleNormal="115" workbookViewId="0">
      <selection activeCell="D19" sqref="D19"/>
    </sheetView>
  </sheetViews>
  <sheetFormatPr defaultRowHeight="14.4" x14ac:dyDescent="0.3"/>
  <cols>
    <col min="1" max="1" width="12.6640625" bestFit="1" customWidth="1"/>
    <col min="2" max="2" width="9" style="1" customWidth="1"/>
    <col min="3" max="3" width="25.44140625" style="1" bestFit="1" customWidth="1"/>
    <col min="4" max="4" width="13.6640625" style="1" customWidth="1"/>
    <col min="5" max="5" width="9.88671875" style="1" customWidth="1"/>
    <col min="6" max="7" width="8.77734375" style="1"/>
    <col min="8" max="8" width="40.77734375" customWidth="1"/>
  </cols>
  <sheetData>
    <row r="2" spans="1:8" x14ac:dyDescent="0.3">
      <c r="B2" s="23" t="s">
        <v>50</v>
      </c>
      <c r="C2" s="23"/>
      <c r="D2" s="23"/>
      <c r="E2" s="23"/>
      <c r="F2" s="23"/>
      <c r="G2" s="24"/>
      <c r="H2" s="23"/>
    </row>
    <row r="3" spans="1:8" ht="15" thickBot="1" x14ac:dyDescent="0.35">
      <c r="B3" s="5" t="s">
        <v>45</v>
      </c>
      <c r="C3" s="5" t="s">
        <v>46</v>
      </c>
      <c r="D3" s="5" t="s">
        <v>47</v>
      </c>
      <c r="E3" s="3" t="s">
        <v>49</v>
      </c>
      <c r="F3" s="5" t="s">
        <v>48</v>
      </c>
      <c r="G3" s="5" t="s">
        <v>7</v>
      </c>
      <c r="H3" s="6" t="s">
        <v>8</v>
      </c>
    </row>
    <row r="4" spans="1:8" x14ac:dyDescent="0.3">
      <c r="A4" s="25" t="s">
        <v>21</v>
      </c>
      <c r="B4" s="7">
        <v>1</v>
      </c>
      <c r="C4" s="7" t="s">
        <v>1</v>
      </c>
      <c r="D4" s="7">
        <v>800</v>
      </c>
      <c r="E4" s="8" t="s">
        <v>2</v>
      </c>
      <c r="F4" s="7">
        <v>636</v>
      </c>
      <c r="G4" s="7">
        <v>2</v>
      </c>
      <c r="H4" s="9"/>
    </row>
    <row r="5" spans="1:8" x14ac:dyDescent="0.3">
      <c r="A5" s="26"/>
      <c r="B5" s="1">
        <v>2</v>
      </c>
      <c r="C5" s="1" t="s">
        <v>3</v>
      </c>
      <c r="D5" s="1">
        <v>1084</v>
      </c>
      <c r="E5" t="s">
        <v>2</v>
      </c>
      <c r="F5" s="1">
        <v>800</v>
      </c>
      <c r="G5" s="1">
        <v>2</v>
      </c>
      <c r="H5" s="10"/>
    </row>
    <row r="6" spans="1:8" ht="15" thickBot="1" x14ac:dyDescent="0.35">
      <c r="A6" s="27"/>
      <c r="B6" s="11">
        <v>3</v>
      </c>
      <c r="C6" s="11" t="s">
        <v>4</v>
      </c>
      <c r="D6" s="11">
        <v>1084</v>
      </c>
      <c r="E6" s="12" t="s">
        <v>2</v>
      </c>
      <c r="F6" s="11">
        <v>600</v>
      </c>
      <c r="G6" s="11">
        <v>1</v>
      </c>
      <c r="H6" s="13"/>
    </row>
    <row r="7" spans="1:8" x14ac:dyDescent="0.3">
      <c r="A7" s="25" t="s">
        <v>22</v>
      </c>
      <c r="B7" s="7">
        <v>4</v>
      </c>
      <c r="C7" s="7" t="s">
        <v>23</v>
      </c>
      <c r="D7" s="7">
        <v>482</v>
      </c>
      <c r="E7" s="8" t="s">
        <v>2</v>
      </c>
      <c r="F7" s="7">
        <v>40</v>
      </c>
      <c r="G7" s="7">
        <v>2</v>
      </c>
      <c r="H7" s="9"/>
    </row>
    <row r="8" spans="1:8" x14ac:dyDescent="0.3">
      <c r="A8" s="26"/>
      <c r="B8" s="1">
        <v>5</v>
      </c>
      <c r="C8" s="1" t="s">
        <v>24</v>
      </c>
      <c r="D8" s="1">
        <v>584</v>
      </c>
      <c r="E8" t="s">
        <v>2</v>
      </c>
      <c r="F8" s="1">
        <v>40</v>
      </c>
      <c r="G8" s="1">
        <v>4</v>
      </c>
      <c r="H8" s="10"/>
    </row>
    <row r="9" spans="1:8" x14ac:dyDescent="0.3">
      <c r="A9" s="26"/>
      <c r="B9" s="1">
        <v>6</v>
      </c>
      <c r="C9" s="1" t="s">
        <v>25</v>
      </c>
      <c r="D9" s="1">
        <v>600</v>
      </c>
      <c r="E9" t="s">
        <v>2</v>
      </c>
      <c r="F9" s="1">
        <v>40</v>
      </c>
      <c r="G9" s="1">
        <v>1</v>
      </c>
      <c r="H9" s="10"/>
    </row>
    <row r="10" spans="1:8" x14ac:dyDescent="0.3">
      <c r="A10" s="26"/>
      <c r="B10" s="1">
        <v>7</v>
      </c>
      <c r="C10" s="1" t="s">
        <v>26</v>
      </c>
      <c r="D10" s="1">
        <v>273</v>
      </c>
      <c r="E10" t="s">
        <v>2</v>
      </c>
      <c r="F10" s="1">
        <v>40</v>
      </c>
      <c r="G10" s="1">
        <v>4</v>
      </c>
      <c r="H10" s="10"/>
    </row>
    <row r="11" spans="1:8" x14ac:dyDescent="0.3">
      <c r="A11" s="26"/>
      <c r="B11" s="1">
        <v>8</v>
      </c>
      <c r="C11" s="1" t="s">
        <v>27</v>
      </c>
      <c r="D11" s="1">
        <v>584</v>
      </c>
      <c r="E11" t="s">
        <v>2</v>
      </c>
      <c r="F11" s="1">
        <v>172</v>
      </c>
      <c r="G11" s="1">
        <v>1</v>
      </c>
      <c r="H11" s="10"/>
    </row>
    <row r="12" spans="1:8" ht="15" thickBot="1" x14ac:dyDescent="0.35">
      <c r="A12" s="27"/>
      <c r="B12" s="11">
        <v>9</v>
      </c>
      <c r="C12" s="11" t="s">
        <v>28</v>
      </c>
      <c r="D12" s="11">
        <v>564</v>
      </c>
      <c r="E12" s="12" t="s">
        <v>2</v>
      </c>
      <c r="F12" s="11">
        <v>290</v>
      </c>
      <c r="G12" s="11">
        <v>1</v>
      </c>
      <c r="H12" s="13"/>
    </row>
    <row r="13" spans="1:8" x14ac:dyDescent="0.3">
      <c r="A13" s="25" t="s">
        <v>30</v>
      </c>
      <c r="B13" s="7">
        <v>10</v>
      </c>
      <c r="C13" s="7" t="s">
        <v>29</v>
      </c>
      <c r="D13" s="7">
        <v>600</v>
      </c>
      <c r="E13" s="8" t="s">
        <v>2</v>
      </c>
      <c r="F13" s="7">
        <v>500</v>
      </c>
      <c r="G13" s="7">
        <v>1</v>
      </c>
      <c r="H13" s="9" t="s">
        <v>31</v>
      </c>
    </row>
    <row r="14" spans="1:8" x14ac:dyDescent="0.3">
      <c r="A14" s="26"/>
      <c r="B14" s="1">
        <v>11</v>
      </c>
      <c r="C14" s="1" t="s">
        <v>32</v>
      </c>
      <c r="D14" s="1">
        <v>600</v>
      </c>
      <c r="E14" t="s">
        <v>2</v>
      </c>
      <c r="F14" s="1">
        <v>353</v>
      </c>
      <c r="G14" s="1">
        <v>1</v>
      </c>
      <c r="H14" s="10" t="s">
        <v>13</v>
      </c>
    </row>
    <row r="15" spans="1:8" x14ac:dyDescent="0.3">
      <c r="A15" s="26"/>
      <c r="B15" s="1">
        <v>12</v>
      </c>
      <c r="C15" s="1" t="s">
        <v>33</v>
      </c>
      <c r="D15" s="1">
        <v>600</v>
      </c>
      <c r="E15" t="s">
        <v>2</v>
      </c>
      <c r="F15" s="1">
        <v>177</v>
      </c>
      <c r="G15" s="1">
        <v>1</v>
      </c>
      <c r="H15" s="10" t="s">
        <v>13</v>
      </c>
    </row>
    <row r="16" spans="1:8" x14ac:dyDescent="0.3">
      <c r="A16" s="26"/>
      <c r="B16" s="1">
        <v>13</v>
      </c>
      <c r="C16" s="1" t="s">
        <v>34</v>
      </c>
      <c r="D16" s="1">
        <v>600</v>
      </c>
      <c r="E16" t="s">
        <v>2</v>
      </c>
      <c r="F16" s="1">
        <v>222</v>
      </c>
      <c r="G16" s="1">
        <v>1</v>
      </c>
      <c r="H16" s="10" t="s">
        <v>13</v>
      </c>
    </row>
    <row r="17" spans="1:8" x14ac:dyDescent="0.3">
      <c r="A17" s="26"/>
      <c r="B17" s="1">
        <v>14</v>
      </c>
      <c r="C17" s="1" t="s">
        <v>35</v>
      </c>
      <c r="D17" s="1">
        <v>600</v>
      </c>
      <c r="E17" t="s">
        <v>2</v>
      </c>
      <c r="F17" s="1">
        <v>420</v>
      </c>
      <c r="G17" s="1">
        <v>1</v>
      </c>
      <c r="H17" s="10"/>
    </row>
    <row r="18" spans="1:8" x14ac:dyDescent="0.3">
      <c r="A18" s="26"/>
      <c r="B18" s="1">
        <v>15</v>
      </c>
      <c r="C18" s="1" t="s">
        <v>36</v>
      </c>
      <c r="D18" s="1">
        <v>600</v>
      </c>
      <c r="E18" t="s">
        <v>2</v>
      </c>
      <c r="F18" s="1">
        <v>177</v>
      </c>
      <c r="G18" s="1">
        <v>1</v>
      </c>
      <c r="H18" s="10" t="s">
        <v>13</v>
      </c>
    </row>
    <row r="19" spans="1:8" x14ac:dyDescent="0.3">
      <c r="A19" s="26"/>
      <c r="B19" s="1">
        <v>16</v>
      </c>
      <c r="C19" s="1" t="s">
        <v>37</v>
      </c>
      <c r="D19" s="1">
        <v>600</v>
      </c>
      <c r="E19" t="s">
        <v>2</v>
      </c>
      <c r="F19" s="1">
        <v>208</v>
      </c>
      <c r="G19" s="1">
        <v>1</v>
      </c>
      <c r="H19" s="10" t="s">
        <v>13</v>
      </c>
    </row>
    <row r="20" spans="1:8" x14ac:dyDescent="0.3">
      <c r="A20" s="26"/>
      <c r="B20" s="1">
        <v>17</v>
      </c>
      <c r="C20" s="1" t="s">
        <v>38</v>
      </c>
      <c r="D20" s="1">
        <v>600</v>
      </c>
      <c r="E20" t="s">
        <v>2</v>
      </c>
      <c r="F20" s="1">
        <v>267</v>
      </c>
      <c r="G20" s="1">
        <v>1</v>
      </c>
      <c r="H20" s="10" t="s">
        <v>13</v>
      </c>
    </row>
    <row r="21" spans="1:8" x14ac:dyDescent="0.3">
      <c r="A21" s="26"/>
      <c r="B21" s="1">
        <v>18</v>
      </c>
      <c r="C21" s="1" t="s">
        <v>39</v>
      </c>
      <c r="D21" s="1">
        <v>600</v>
      </c>
      <c r="E21" t="s">
        <v>2</v>
      </c>
      <c r="F21" s="1">
        <v>241</v>
      </c>
      <c r="G21" s="1">
        <v>1</v>
      </c>
      <c r="H21" s="10" t="s">
        <v>13</v>
      </c>
    </row>
    <row r="22" spans="1:8" x14ac:dyDescent="0.3">
      <c r="A22" s="26"/>
      <c r="B22" s="1">
        <v>19</v>
      </c>
      <c r="C22" s="1" t="s">
        <v>40</v>
      </c>
      <c r="D22" s="1">
        <v>600</v>
      </c>
      <c r="E22" t="s">
        <v>2</v>
      </c>
      <c r="F22" s="1">
        <v>244</v>
      </c>
      <c r="G22" s="1">
        <v>1</v>
      </c>
      <c r="H22" s="10" t="s">
        <v>13</v>
      </c>
    </row>
    <row r="23" spans="1:8" x14ac:dyDescent="0.3">
      <c r="A23" s="26"/>
      <c r="B23" s="1">
        <v>20</v>
      </c>
      <c r="C23" s="1" t="s">
        <v>41</v>
      </c>
      <c r="D23" s="1">
        <v>600</v>
      </c>
      <c r="E23" t="s">
        <v>2</v>
      </c>
      <c r="F23" s="1">
        <v>244</v>
      </c>
      <c r="G23" s="1">
        <v>1</v>
      </c>
      <c r="H23" s="10" t="s">
        <v>13</v>
      </c>
    </row>
    <row r="24" spans="1:8" ht="15" thickBot="1" x14ac:dyDescent="0.35">
      <c r="A24" s="27"/>
      <c r="B24" s="11">
        <v>21</v>
      </c>
      <c r="C24" s="11" t="s">
        <v>42</v>
      </c>
      <c r="D24" s="11">
        <v>193</v>
      </c>
      <c r="E24" s="12" t="s">
        <v>2</v>
      </c>
      <c r="F24" s="11">
        <v>40</v>
      </c>
      <c r="G24" s="11">
        <v>4</v>
      </c>
      <c r="H24" s="13" t="s">
        <v>13</v>
      </c>
    </row>
  </sheetData>
  <mergeCells count="4">
    <mergeCell ref="B2:H2"/>
    <mergeCell ref="A13:A24"/>
    <mergeCell ref="A7:A12"/>
    <mergeCell ref="A4:A6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6B91-51A0-496F-A6E9-D688AB692FBA}">
  <dimension ref="A1:N52"/>
  <sheetViews>
    <sheetView tabSelected="1" topLeftCell="C1" zoomScale="130" zoomScaleNormal="130" workbookViewId="0">
      <selection activeCell="H9" sqref="H9"/>
    </sheetView>
  </sheetViews>
  <sheetFormatPr defaultRowHeight="14.4" x14ac:dyDescent="0.3"/>
  <cols>
    <col min="1" max="1" width="13.77734375" customWidth="1"/>
    <col min="3" max="3" width="25.44140625" bestFit="1" customWidth="1"/>
    <col min="4" max="4" width="16.44140625" bestFit="1" customWidth="1"/>
    <col min="5" max="5" width="2.21875" style="1" customWidth="1"/>
    <col min="7" max="7" width="14.5546875" customWidth="1"/>
    <col min="8" max="8" width="39.21875" customWidth="1"/>
    <col min="9" max="9" width="8.88671875" style="28"/>
    <col min="10" max="10" width="22" style="28" bestFit="1" customWidth="1"/>
    <col min="11" max="14" width="8.88671875" style="28"/>
  </cols>
  <sheetData>
    <row r="1" spans="1:11" ht="15" thickBot="1" x14ac:dyDescent="0.35">
      <c r="A1" s="28"/>
      <c r="B1" s="28"/>
      <c r="C1" s="21" t="s">
        <v>63</v>
      </c>
      <c r="D1" s="22" t="s">
        <v>62</v>
      </c>
      <c r="F1" s="28"/>
      <c r="G1" s="28"/>
      <c r="H1" s="28"/>
    </row>
    <row r="2" spans="1:11" x14ac:dyDescent="0.3">
      <c r="A2" s="28"/>
      <c r="B2" s="23" t="s">
        <v>56</v>
      </c>
      <c r="C2" s="23"/>
      <c r="D2" s="23"/>
      <c r="E2" s="23"/>
      <c r="F2" s="23"/>
      <c r="G2" s="24"/>
      <c r="H2" s="23"/>
      <c r="J2" s="28" t="s">
        <v>58</v>
      </c>
    </row>
    <row r="3" spans="1:11" ht="15" thickBot="1" x14ac:dyDescent="0.35">
      <c r="A3" s="28"/>
      <c r="B3" s="5" t="s">
        <v>45</v>
      </c>
      <c r="C3" s="5" t="s">
        <v>46</v>
      </c>
      <c r="D3" s="5" t="s">
        <v>47</v>
      </c>
      <c r="E3" s="14" t="s">
        <v>49</v>
      </c>
      <c r="F3" s="5" t="s">
        <v>48</v>
      </c>
      <c r="G3" s="5" t="s">
        <v>7</v>
      </c>
      <c r="H3" s="6" t="s">
        <v>8</v>
      </c>
      <c r="J3" s="29" t="s">
        <v>59</v>
      </c>
      <c r="K3" s="30">
        <f>$H$25</f>
        <v>5.7287679999999996</v>
      </c>
    </row>
    <row r="4" spans="1:11" x14ac:dyDescent="0.3">
      <c r="A4" s="25" t="s">
        <v>21</v>
      </c>
      <c r="B4" s="7">
        <v>1</v>
      </c>
      <c r="C4" s="7" t="s">
        <v>1</v>
      </c>
      <c r="D4" s="7">
        <v>800</v>
      </c>
      <c r="E4" s="7" t="s">
        <v>2</v>
      </c>
      <c r="F4" s="7">
        <v>636</v>
      </c>
      <c r="G4" s="7">
        <v>2</v>
      </c>
      <c r="H4" s="9"/>
      <c r="J4" s="29" t="s">
        <v>60</v>
      </c>
      <c r="K4" s="30">
        <f>$H$38</f>
        <v>2.6728510000000001</v>
      </c>
    </row>
    <row r="5" spans="1:11" x14ac:dyDescent="0.3">
      <c r="A5" s="26"/>
      <c r="B5" s="1">
        <v>2</v>
      </c>
      <c r="C5" s="1" t="s">
        <v>3</v>
      </c>
      <c r="D5" s="1">
        <v>1084</v>
      </c>
      <c r="E5" s="1" t="s">
        <v>2</v>
      </c>
      <c r="F5" s="1">
        <v>800</v>
      </c>
      <c r="G5" s="1">
        <v>2</v>
      </c>
      <c r="H5" s="10"/>
      <c r="J5" s="29" t="s">
        <v>61</v>
      </c>
      <c r="K5" s="30">
        <f>$H$51</f>
        <v>2.5136400000000001</v>
      </c>
    </row>
    <row r="6" spans="1:11" ht="15" thickBot="1" x14ac:dyDescent="0.35">
      <c r="A6" s="27"/>
      <c r="B6" s="11">
        <v>3</v>
      </c>
      <c r="C6" s="11" t="s">
        <v>4</v>
      </c>
      <c r="D6" s="11">
        <v>1084</v>
      </c>
      <c r="E6" s="11" t="s">
        <v>2</v>
      </c>
      <c r="F6" s="11">
        <v>600</v>
      </c>
      <c r="G6" s="11">
        <v>1</v>
      </c>
      <c r="H6" s="13"/>
      <c r="J6" s="29" t="s">
        <v>64</v>
      </c>
      <c r="K6" s="31"/>
    </row>
    <row r="7" spans="1:11" x14ac:dyDescent="0.3">
      <c r="A7" s="25" t="s">
        <v>22</v>
      </c>
      <c r="B7" s="7">
        <v>4</v>
      </c>
      <c r="C7" s="7" t="s">
        <v>23</v>
      </c>
      <c r="D7" s="7">
        <v>482</v>
      </c>
      <c r="E7" s="7" t="s">
        <v>2</v>
      </c>
      <c r="F7" s="7">
        <v>40</v>
      </c>
      <c r="G7" s="7">
        <v>2</v>
      </c>
      <c r="H7" s="9"/>
      <c r="J7" s="28" t="s">
        <v>66</v>
      </c>
      <c r="K7" s="32">
        <f>SUM(K3:K6)</f>
        <v>10.915259000000001</v>
      </c>
    </row>
    <row r="8" spans="1:11" x14ac:dyDescent="0.3">
      <c r="A8" s="26"/>
      <c r="B8" s="1">
        <v>5</v>
      </c>
      <c r="C8" s="1" t="s">
        <v>24</v>
      </c>
      <c r="D8" s="1">
        <v>584</v>
      </c>
      <c r="E8" s="1" t="s">
        <v>2</v>
      </c>
      <c r="F8" s="1">
        <v>40</v>
      </c>
      <c r="G8" s="1">
        <v>4</v>
      </c>
      <c r="H8" s="10"/>
      <c r="J8" s="28" t="s">
        <v>65</v>
      </c>
      <c r="K8" s="33">
        <v>0.2</v>
      </c>
    </row>
    <row r="9" spans="1:11" x14ac:dyDescent="0.3">
      <c r="A9" s="26"/>
      <c r="B9" s="1">
        <v>6</v>
      </c>
      <c r="C9" s="1" t="s">
        <v>25</v>
      </c>
      <c r="D9" s="1">
        <v>600</v>
      </c>
      <c r="E9" s="1" t="s">
        <v>2</v>
      </c>
      <c r="F9" s="1">
        <v>40</v>
      </c>
      <c r="G9" s="1">
        <v>1</v>
      </c>
      <c r="H9" s="10"/>
      <c r="J9" s="28" t="s">
        <v>67</v>
      </c>
      <c r="K9" s="34">
        <f>K7+K8*K7</f>
        <v>13.0983108</v>
      </c>
    </row>
    <row r="10" spans="1:11" x14ac:dyDescent="0.3">
      <c r="A10" s="26"/>
      <c r="B10" s="1">
        <v>7</v>
      </c>
      <c r="C10" s="1" t="s">
        <v>26</v>
      </c>
      <c r="D10" s="1">
        <v>273</v>
      </c>
      <c r="E10" s="1" t="s">
        <v>2</v>
      </c>
      <c r="F10" s="1">
        <v>40</v>
      </c>
      <c r="G10" s="1">
        <v>4</v>
      </c>
      <c r="H10" s="10"/>
    </row>
    <row r="11" spans="1:11" x14ac:dyDescent="0.3">
      <c r="A11" s="26"/>
      <c r="B11" s="1">
        <v>8</v>
      </c>
      <c r="C11" s="1" t="s">
        <v>27</v>
      </c>
      <c r="D11" s="1">
        <v>584</v>
      </c>
      <c r="E11" s="1" t="s">
        <v>2</v>
      </c>
      <c r="F11" s="1">
        <v>172</v>
      </c>
      <c r="G11" s="1">
        <v>1</v>
      </c>
      <c r="H11" s="10"/>
    </row>
    <row r="12" spans="1:11" ht="15" thickBot="1" x14ac:dyDescent="0.35">
      <c r="A12" s="27"/>
      <c r="B12" s="11">
        <v>9</v>
      </c>
      <c r="C12" s="11" t="s">
        <v>28</v>
      </c>
      <c r="D12" s="11">
        <v>564</v>
      </c>
      <c r="E12" s="11" t="s">
        <v>2</v>
      </c>
      <c r="F12" s="11">
        <v>290</v>
      </c>
      <c r="G12" s="11">
        <v>1</v>
      </c>
      <c r="H12" s="13"/>
    </row>
    <row r="13" spans="1:11" x14ac:dyDescent="0.3">
      <c r="A13" s="25" t="s">
        <v>30</v>
      </c>
      <c r="B13" s="7">
        <v>10</v>
      </c>
      <c r="C13" s="7" t="s">
        <v>29</v>
      </c>
      <c r="D13" s="7">
        <v>600</v>
      </c>
      <c r="E13" s="7" t="s">
        <v>2</v>
      </c>
      <c r="F13" s="7">
        <v>500</v>
      </c>
      <c r="G13" s="7">
        <v>1</v>
      </c>
      <c r="H13" s="9" t="s">
        <v>31</v>
      </c>
    </row>
    <row r="14" spans="1:11" x14ac:dyDescent="0.3">
      <c r="A14" s="26"/>
      <c r="B14" s="1">
        <v>11</v>
      </c>
      <c r="C14" s="1" t="s">
        <v>32</v>
      </c>
      <c r="D14" s="1">
        <v>600</v>
      </c>
      <c r="E14" s="1" t="s">
        <v>2</v>
      </c>
      <c r="F14" s="1">
        <v>353</v>
      </c>
      <c r="G14" s="1">
        <v>1</v>
      </c>
      <c r="H14" s="10" t="s">
        <v>13</v>
      </c>
    </row>
    <row r="15" spans="1:11" x14ac:dyDescent="0.3">
      <c r="A15" s="26"/>
      <c r="B15" s="1">
        <v>12</v>
      </c>
      <c r="C15" s="1" t="s">
        <v>33</v>
      </c>
      <c r="D15" s="1">
        <v>600</v>
      </c>
      <c r="E15" s="1" t="s">
        <v>2</v>
      </c>
      <c r="F15" s="1">
        <v>177</v>
      </c>
      <c r="G15" s="1">
        <v>1</v>
      </c>
      <c r="H15" s="10" t="s">
        <v>13</v>
      </c>
    </row>
    <row r="16" spans="1:11" x14ac:dyDescent="0.3">
      <c r="A16" s="26"/>
      <c r="B16" s="1">
        <v>13</v>
      </c>
      <c r="C16" s="1" t="s">
        <v>34</v>
      </c>
      <c r="D16" s="1">
        <v>600</v>
      </c>
      <c r="E16" s="1" t="s">
        <v>2</v>
      </c>
      <c r="F16" s="1">
        <v>222</v>
      </c>
      <c r="G16" s="1">
        <v>1</v>
      </c>
      <c r="H16" s="10" t="s">
        <v>13</v>
      </c>
    </row>
    <row r="17" spans="1:8" x14ac:dyDescent="0.3">
      <c r="A17" s="26"/>
      <c r="B17" s="1">
        <v>14</v>
      </c>
      <c r="C17" s="1" t="s">
        <v>35</v>
      </c>
      <c r="D17" s="1">
        <v>600</v>
      </c>
      <c r="E17" s="1" t="s">
        <v>2</v>
      </c>
      <c r="F17" s="1">
        <v>420</v>
      </c>
      <c r="G17" s="1">
        <v>1</v>
      </c>
      <c r="H17" s="10"/>
    </row>
    <row r="18" spans="1:8" x14ac:dyDescent="0.3">
      <c r="A18" s="26"/>
      <c r="B18" s="1">
        <v>15</v>
      </c>
      <c r="C18" s="1" t="s">
        <v>36</v>
      </c>
      <c r="D18" s="1">
        <v>600</v>
      </c>
      <c r="E18" s="1" t="s">
        <v>2</v>
      </c>
      <c r="F18" s="1">
        <v>177</v>
      </c>
      <c r="G18" s="1">
        <v>1</v>
      </c>
      <c r="H18" s="10" t="s">
        <v>13</v>
      </c>
    </row>
    <row r="19" spans="1:8" x14ac:dyDescent="0.3">
      <c r="A19" s="26"/>
      <c r="B19" s="1">
        <v>16</v>
      </c>
      <c r="C19" s="1" t="s">
        <v>37</v>
      </c>
      <c r="D19" s="1">
        <v>600</v>
      </c>
      <c r="E19" s="1" t="s">
        <v>2</v>
      </c>
      <c r="F19" s="1">
        <v>208</v>
      </c>
      <c r="G19" s="1">
        <v>1</v>
      </c>
      <c r="H19" s="10" t="s">
        <v>13</v>
      </c>
    </row>
    <row r="20" spans="1:8" x14ac:dyDescent="0.3">
      <c r="A20" s="26"/>
      <c r="B20" s="1">
        <v>17</v>
      </c>
      <c r="C20" s="1" t="s">
        <v>38</v>
      </c>
      <c r="D20" s="1">
        <v>600</v>
      </c>
      <c r="E20" s="1" t="s">
        <v>2</v>
      </c>
      <c r="F20" s="1">
        <v>267</v>
      </c>
      <c r="G20" s="1">
        <v>1</v>
      </c>
      <c r="H20" s="10" t="s">
        <v>13</v>
      </c>
    </row>
    <row r="21" spans="1:8" x14ac:dyDescent="0.3">
      <c r="A21" s="26"/>
      <c r="B21" s="1">
        <v>18</v>
      </c>
      <c r="C21" s="1" t="s">
        <v>39</v>
      </c>
      <c r="D21" s="1">
        <v>600</v>
      </c>
      <c r="E21" s="1" t="s">
        <v>2</v>
      </c>
      <c r="F21" s="1">
        <v>241</v>
      </c>
      <c r="G21" s="1">
        <v>1</v>
      </c>
      <c r="H21" s="10" t="s">
        <v>13</v>
      </c>
    </row>
    <row r="22" spans="1:8" x14ac:dyDescent="0.3">
      <c r="A22" s="26"/>
      <c r="B22" s="1">
        <v>19</v>
      </c>
      <c r="C22" s="1" t="s">
        <v>40</v>
      </c>
      <c r="D22" s="1">
        <v>600</v>
      </c>
      <c r="E22" s="1" t="s">
        <v>2</v>
      </c>
      <c r="F22" s="1">
        <v>244</v>
      </c>
      <c r="G22" s="1">
        <v>1</v>
      </c>
      <c r="H22" s="10" t="s">
        <v>13</v>
      </c>
    </row>
    <row r="23" spans="1:8" x14ac:dyDescent="0.3">
      <c r="A23" s="26"/>
      <c r="B23" s="1">
        <v>20</v>
      </c>
      <c r="C23" s="1" t="s">
        <v>41</v>
      </c>
      <c r="D23" s="1">
        <v>600</v>
      </c>
      <c r="E23" s="1" t="s">
        <v>2</v>
      </c>
      <c r="F23" s="1">
        <v>244</v>
      </c>
      <c r="G23" s="1">
        <v>1</v>
      </c>
      <c r="H23" s="10" t="s">
        <v>13</v>
      </c>
    </row>
    <row r="24" spans="1:8" ht="15" thickBot="1" x14ac:dyDescent="0.35">
      <c r="A24" s="27"/>
      <c r="B24" s="11">
        <v>21</v>
      </c>
      <c r="C24" s="11" t="s">
        <v>42</v>
      </c>
      <c r="D24" s="11">
        <v>193</v>
      </c>
      <c r="E24" s="11" t="s">
        <v>2</v>
      </c>
      <c r="F24" s="11">
        <v>40</v>
      </c>
      <c r="G24" s="11">
        <v>4</v>
      </c>
      <c r="H24" s="13" t="s">
        <v>13</v>
      </c>
    </row>
    <row r="25" spans="1:8" ht="15" thickBot="1" x14ac:dyDescent="0.35">
      <c r="B25" s="1"/>
      <c r="C25" s="1"/>
      <c r="D25" s="1"/>
      <c r="F25" s="1"/>
      <c r="G25" s="15" t="s">
        <v>53</v>
      </c>
      <c r="H25" s="20">
        <f>SUMPRODUCT(D4:D24,F4:F24,G4:G24)*10^-6</f>
        <v>5.7287679999999996</v>
      </c>
    </row>
    <row r="26" spans="1:8" ht="29.4" thickBot="1" x14ac:dyDescent="0.35">
      <c r="B26" s="1"/>
      <c r="C26" s="1"/>
      <c r="D26" s="1"/>
      <c r="F26" s="1"/>
      <c r="G26" s="16" t="s">
        <v>51</v>
      </c>
      <c r="H26" s="17" t="s">
        <v>52</v>
      </c>
    </row>
    <row r="27" spans="1:8" x14ac:dyDescent="0.3">
      <c r="B27" s="23" t="s">
        <v>55</v>
      </c>
      <c r="C27" s="23"/>
      <c r="D27" s="23"/>
      <c r="E27" s="23"/>
      <c r="F27" s="23"/>
      <c r="G27" s="23"/>
      <c r="H27" s="23"/>
    </row>
    <row r="28" spans="1:8" x14ac:dyDescent="0.3">
      <c r="B28" s="4" t="s">
        <v>45</v>
      </c>
      <c r="C28" s="2" t="s">
        <v>46</v>
      </c>
      <c r="D28" s="4" t="s">
        <v>47</v>
      </c>
      <c r="E28" s="3" t="s">
        <v>49</v>
      </c>
      <c r="F28" s="4" t="s">
        <v>48</v>
      </c>
      <c r="G28" s="4" t="s">
        <v>7</v>
      </c>
      <c r="H28" s="2" t="s">
        <v>8</v>
      </c>
    </row>
    <row r="29" spans="1:8" x14ac:dyDescent="0.3">
      <c r="B29" s="1">
        <v>1</v>
      </c>
      <c r="C29" t="s">
        <v>1</v>
      </c>
      <c r="D29" s="1">
        <v>699</v>
      </c>
      <c r="E29" t="s">
        <v>2</v>
      </c>
      <c r="F29" s="1">
        <v>533</v>
      </c>
      <c r="G29" s="1">
        <v>2</v>
      </c>
    </row>
    <row r="30" spans="1:8" x14ac:dyDescent="0.3">
      <c r="B30" s="1">
        <v>2</v>
      </c>
      <c r="C30" t="s">
        <v>3</v>
      </c>
      <c r="D30" s="1">
        <v>533</v>
      </c>
      <c r="E30" t="s">
        <v>2</v>
      </c>
      <c r="F30" s="1">
        <v>533</v>
      </c>
      <c r="G30" s="1">
        <v>2</v>
      </c>
    </row>
    <row r="31" spans="1:8" x14ac:dyDescent="0.3">
      <c r="B31" s="1">
        <v>3</v>
      </c>
      <c r="C31" t="s">
        <v>4</v>
      </c>
      <c r="D31" s="1">
        <v>663</v>
      </c>
      <c r="E31" t="s">
        <v>2</v>
      </c>
      <c r="F31" s="1">
        <v>497</v>
      </c>
      <c r="G31" s="1">
        <v>1</v>
      </c>
    </row>
    <row r="32" spans="1:8" x14ac:dyDescent="0.3">
      <c r="B32" s="1">
        <v>4</v>
      </c>
      <c r="C32" t="s">
        <v>14</v>
      </c>
      <c r="D32" s="1">
        <v>497</v>
      </c>
      <c r="E32" t="s">
        <v>2</v>
      </c>
      <c r="F32" s="1">
        <v>87</v>
      </c>
      <c r="G32" s="1">
        <v>1</v>
      </c>
    </row>
    <row r="33" spans="2:8" x14ac:dyDescent="0.3">
      <c r="B33" s="1">
        <v>5</v>
      </c>
      <c r="C33" t="s">
        <v>15</v>
      </c>
      <c r="D33" s="1">
        <v>369</v>
      </c>
      <c r="E33" t="s">
        <v>2</v>
      </c>
      <c r="F33" s="1">
        <v>50</v>
      </c>
      <c r="G33" s="1">
        <v>4</v>
      </c>
    </row>
    <row r="34" spans="2:8" x14ac:dyDescent="0.3">
      <c r="B34" s="1">
        <v>6</v>
      </c>
      <c r="C34" t="s">
        <v>16</v>
      </c>
      <c r="D34" s="1">
        <v>497</v>
      </c>
      <c r="E34" t="s">
        <v>2</v>
      </c>
      <c r="F34" s="1">
        <v>82</v>
      </c>
      <c r="G34" s="1">
        <v>1</v>
      </c>
    </row>
    <row r="35" spans="2:8" x14ac:dyDescent="0.3">
      <c r="B35" s="1">
        <v>7</v>
      </c>
      <c r="C35" t="s">
        <v>17</v>
      </c>
      <c r="D35" s="1">
        <v>497</v>
      </c>
      <c r="E35" t="s">
        <v>2</v>
      </c>
      <c r="F35" s="1">
        <v>177</v>
      </c>
      <c r="G35" s="1">
        <v>2</v>
      </c>
    </row>
    <row r="36" spans="2:8" x14ac:dyDescent="0.3">
      <c r="B36" s="1">
        <v>8</v>
      </c>
      <c r="C36" t="s">
        <v>18</v>
      </c>
      <c r="D36" s="1">
        <v>497</v>
      </c>
      <c r="E36" t="s">
        <v>2</v>
      </c>
      <c r="F36" s="1">
        <v>369</v>
      </c>
      <c r="G36" s="1">
        <v>2</v>
      </c>
    </row>
    <row r="37" spans="2:8" ht="15" thickBot="1" x14ac:dyDescent="0.35">
      <c r="B37" s="1">
        <v>9</v>
      </c>
      <c r="C37" t="s">
        <v>19</v>
      </c>
      <c r="D37" s="1">
        <v>663</v>
      </c>
      <c r="E37" t="s">
        <v>2</v>
      </c>
      <c r="F37" s="1">
        <v>497</v>
      </c>
      <c r="G37" s="1">
        <v>1</v>
      </c>
      <c r="H37" t="s">
        <v>20</v>
      </c>
    </row>
    <row r="38" spans="2:8" ht="15" thickBot="1" x14ac:dyDescent="0.35">
      <c r="B38" s="1"/>
      <c r="D38" s="1"/>
      <c r="F38" s="1"/>
      <c r="G38" s="15" t="s">
        <v>53</v>
      </c>
      <c r="H38" s="20">
        <f>SUMPRODUCT(D29:D37,F29:F37,G29:G37)*10^-6</f>
        <v>2.6728510000000001</v>
      </c>
    </row>
    <row r="39" spans="2:8" ht="28.8" x14ac:dyDescent="0.3">
      <c r="B39" s="1"/>
      <c r="D39" s="1"/>
      <c r="F39" s="1"/>
      <c r="G39" s="19" t="s">
        <v>51</v>
      </c>
      <c r="H39" s="18" t="s">
        <v>54</v>
      </c>
    </row>
    <row r="40" spans="2:8" x14ac:dyDescent="0.3">
      <c r="B40" s="23" t="s">
        <v>44</v>
      </c>
      <c r="C40" s="23"/>
      <c r="D40" s="23"/>
      <c r="E40" s="23"/>
      <c r="F40" s="23"/>
      <c r="G40" s="23"/>
      <c r="H40" s="23"/>
    </row>
    <row r="41" spans="2:8" x14ac:dyDescent="0.3">
      <c r="B41" s="4" t="s">
        <v>45</v>
      </c>
      <c r="C41" s="2" t="s">
        <v>46</v>
      </c>
      <c r="D41" s="4" t="s">
        <v>47</v>
      </c>
      <c r="E41" s="3" t="s">
        <v>49</v>
      </c>
      <c r="F41" s="4" t="s">
        <v>48</v>
      </c>
      <c r="G41" s="4" t="s">
        <v>7</v>
      </c>
      <c r="H41" s="2" t="s">
        <v>8</v>
      </c>
    </row>
    <row r="42" spans="2:8" x14ac:dyDescent="0.3">
      <c r="B42" s="1">
        <v>1</v>
      </c>
      <c r="C42" t="s">
        <v>1</v>
      </c>
      <c r="D42" s="1">
        <v>576</v>
      </c>
      <c r="E42" s="1" t="s">
        <v>2</v>
      </c>
      <c r="F42" s="1">
        <v>423</v>
      </c>
      <c r="G42" s="1">
        <v>2</v>
      </c>
    </row>
    <row r="43" spans="2:8" x14ac:dyDescent="0.3">
      <c r="B43" s="1">
        <v>2</v>
      </c>
      <c r="C43" t="s">
        <v>3</v>
      </c>
      <c r="D43" s="1">
        <v>612</v>
      </c>
      <c r="E43" s="1" t="s">
        <v>2</v>
      </c>
      <c r="F43" s="1">
        <v>423</v>
      </c>
      <c r="G43" s="1">
        <v>2</v>
      </c>
    </row>
    <row r="44" spans="2:8" x14ac:dyDescent="0.3">
      <c r="B44" s="1">
        <v>3</v>
      </c>
      <c r="C44" t="s">
        <v>4</v>
      </c>
      <c r="D44" s="1">
        <v>612</v>
      </c>
      <c r="E44" s="1" t="s">
        <v>2</v>
      </c>
      <c r="F44" s="1">
        <v>544</v>
      </c>
      <c r="G44" s="1">
        <v>1</v>
      </c>
    </row>
    <row r="45" spans="2:8" x14ac:dyDescent="0.3">
      <c r="B45" s="1">
        <v>4</v>
      </c>
      <c r="C45" t="s">
        <v>5</v>
      </c>
      <c r="D45" s="1">
        <v>544</v>
      </c>
      <c r="E45" s="1" t="s">
        <v>2</v>
      </c>
      <c r="F45" s="1">
        <v>405</v>
      </c>
      <c r="G45" s="1">
        <v>1</v>
      </c>
    </row>
    <row r="46" spans="2:8" x14ac:dyDescent="0.3">
      <c r="B46" s="1">
        <v>5</v>
      </c>
      <c r="C46" t="s">
        <v>6</v>
      </c>
      <c r="D46" s="1">
        <v>544</v>
      </c>
      <c r="E46" s="1" t="s">
        <v>2</v>
      </c>
      <c r="F46" s="1">
        <v>220</v>
      </c>
      <c r="G46" s="1">
        <v>2</v>
      </c>
    </row>
    <row r="47" spans="2:8" x14ac:dyDescent="0.3">
      <c r="B47" s="1">
        <v>6</v>
      </c>
      <c r="C47" t="s">
        <v>19</v>
      </c>
      <c r="D47" s="1">
        <v>544</v>
      </c>
      <c r="E47" s="1" t="s">
        <v>2</v>
      </c>
      <c r="F47" s="1">
        <v>374</v>
      </c>
      <c r="G47" s="1">
        <v>1</v>
      </c>
      <c r="H47" t="s">
        <v>9</v>
      </c>
    </row>
    <row r="48" spans="2:8" x14ac:dyDescent="0.3">
      <c r="B48" s="1">
        <v>7</v>
      </c>
      <c r="C48" t="s">
        <v>10</v>
      </c>
      <c r="D48" s="1">
        <v>544</v>
      </c>
      <c r="E48" s="1" t="s">
        <v>2</v>
      </c>
      <c r="F48" s="1">
        <v>273</v>
      </c>
      <c r="G48" s="1">
        <v>2</v>
      </c>
      <c r="H48" t="s">
        <v>13</v>
      </c>
    </row>
    <row r="49" spans="2:8" x14ac:dyDescent="0.3">
      <c r="B49" s="1">
        <v>8</v>
      </c>
      <c r="C49" t="s">
        <v>12</v>
      </c>
      <c r="D49" s="1">
        <v>260</v>
      </c>
      <c r="E49" s="1" t="s">
        <v>2</v>
      </c>
      <c r="F49" s="1">
        <v>144</v>
      </c>
      <c r="G49" s="1">
        <v>2</v>
      </c>
      <c r="H49" t="s">
        <v>13</v>
      </c>
    </row>
    <row r="50" spans="2:8" ht="15" thickBot="1" x14ac:dyDescent="0.35">
      <c r="B50" s="1">
        <v>9</v>
      </c>
      <c r="C50" t="s">
        <v>11</v>
      </c>
      <c r="D50" s="1">
        <v>374</v>
      </c>
      <c r="E50" s="1" t="s">
        <v>2</v>
      </c>
      <c r="F50" s="1">
        <v>188</v>
      </c>
      <c r="G50" s="1">
        <v>2</v>
      </c>
      <c r="H50" t="s">
        <v>13</v>
      </c>
    </row>
    <row r="51" spans="2:8" ht="15" thickBot="1" x14ac:dyDescent="0.35">
      <c r="B51" s="1"/>
      <c r="D51" s="1"/>
      <c r="F51" s="1"/>
      <c r="G51" s="15" t="s">
        <v>53</v>
      </c>
      <c r="H51" s="20">
        <f>SUMPRODUCT(D42:D50,F42:F50,G42:G50)*10^-6</f>
        <v>2.5136400000000001</v>
      </c>
    </row>
    <row r="52" spans="2:8" ht="28.8" x14ac:dyDescent="0.3">
      <c r="B52" s="1"/>
      <c r="D52" s="1"/>
      <c r="F52" s="1"/>
      <c r="G52" s="19" t="s">
        <v>51</v>
      </c>
      <c r="H52" s="18" t="s">
        <v>57</v>
      </c>
    </row>
  </sheetData>
  <mergeCells count="6">
    <mergeCell ref="B40:H40"/>
    <mergeCell ref="B2:H2"/>
    <mergeCell ref="A4:A6"/>
    <mergeCell ref="A7:A12"/>
    <mergeCell ref="A13:A24"/>
    <mergeCell ref="B27:H27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XX</vt:lpstr>
      <vt:lpstr>MID XX</vt:lpstr>
      <vt:lpstr>KICK XX</vt:lpstr>
      <vt:lpstr>SUB XX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Set</dc:creator>
  <cp:lastModifiedBy>Mind Set</cp:lastModifiedBy>
  <cp:lastPrinted>2026-01-27T00:47:32Z</cp:lastPrinted>
  <dcterms:created xsi:type="dcterms:W3CDTF">2026-01-19T13:16:12Z</dcterms:created>
  <dcterms:modified xsi:type="dcterms:W3CDTF">2026-01-27T00:47:52Z</dcterms:modified>
</cp:coreProperties>
</file>