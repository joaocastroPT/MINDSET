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ruisa\mindset\MINDSET\DRIVE\3. Operações\3.1 Projetos\26003 - CAFE TRINDADE 1961 (São João da Madeira)\"/>
    </mc:Choice>
  </mc:AlternateContent>
  <xr:revisionPtr revIDLastSave="0" documentId="13_ncr:1_{F2731B36-7E3C-4206-8ADB-2DA1579ED1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Detalhe!$B$1:$F$41</definedName>
    <definedName name="_xlnm.Print_Titles" localSheetId="0">Detalhe!$1:$9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10" i="41"/>
  <c r="I10" i="41" s="1"/>
  <c r="H11" i="41"/>
  <c r="I11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H503" i="41"/>
  <c r="I503" i="41" s="1"/>
  <c r="P55" i="41" l="1" a="1"/>
  <c r="P55" i="41" s="1"/>
  <c r="E134" i="41" l="1"/>
  <c r="A1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6" i="41" l="1"/>
  <c r="A28" i="41" l="1"/>
  <c r="A27" i="4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  <c r="A98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<sst xmlns="http://schemas.openxmlformats.org/spreadsheetml/2006/main" count="30" uniqueCount="21">
  <si>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</si>
  <si>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</si>
  <si>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</si>
  <si>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</si>
  <si>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</si>
  <si>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</si>
  <si>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</si>
  <si>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</si>
  <si>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</si>
  <si>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</si>
  <si>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</si>
  <si>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José Silva</t>
  </si>
  <si>
    <t>JS</t>
  </si>
  <si>
    <t>Abril</t>
  </si>
  <si>
    <t>FOLHA DE HORAS PROJETO</t>
  </si>
  <si>
    <t>Capelas</t>
  </si>
  <si>
    <t>RC</t>
  </si>
  <si>
    <t>Avaliação do ambiente e primeiras conclusões</t>
  </si>
  <si>
    <t xml:space="preserve">Arquitetura café </t>
  </si>
  <si>
    <t>Análise de orçamento</t>
  </si>
  <si>
    <t>RA, JC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</si>
</sst>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45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3"/>
  <sheetViews>
    <sheetView showGridLines="0" tabSelected="1" zoomScale="70" zoomScaleNormal="70" zoomScaleSheetLayoutView="70" workbookViewId="0">
      <pane ySplit="9" topLeftCell="A10" activePane="bottomLeft" state="frozen"/>
      <selection pane="bottomLeft" activeCell="C16" sqref="C16:D16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9" t="e" vm="1">
        <v>#VALUE!</v>
      </c>
      <c r="C1" s="40"/>
      <c r="D1" s="35" t="s">
        <v>14</v>
      </c>
      <c r="E1" s="36"/>
      <c r="F1" s="2" t="s">
        <v>2</v>
      </c>
    </row>
    <row r="2" spans="1:14" ht="36" customHeight="1" thickBot="1" x14ac:dyDescent="0.3">
      <c r="B2" s="41"/>
      <c r="C2" s="42"/>
      <c r="D2" s="37"/>
      <c r="E2" s="38"/>
      <c r="F2" s="26">
        <f>SUM(E10:E41)</f>
        <v>10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1" t="s">
        <v>13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 t="s">
        <v>11</v>
      </c>
      <c r="E6" s="7" t="s">
        <v>12</v>
      </c>
      <c r="G6" s="22"/>
      <c r="H6" s="22"/>
      <c r="I6" s="21"/>
      <c r="K6" s="8"/>
    </row>
    <row r="7" spans="1:14" s="1" customFormat="1" ht="20.25" customHeight="1" thickBot="1" x14ac:dyDescent="0.3">
      <c r="A7" s="23"/>
      <c r="C7" s="1" t="s">
        <v>0</v>
      </c>
      <c r="D7" s="27" t="s">
        <v>15</v>
      </c>
      <c r="E7" s="7" t="s">
        <v>16</v>
      </c>
      <c r="G7" s="22"/>
      <c r="H7" s="22"/>
      <c r="I7" s="21"/>
      <c r="K7" s="8"/>
    </row>
    <row r="8" spans="1:14" ht="15" customHeight="1" thickBot="1" x14ac:dyDescent="0.3">
      <c r="G8" s="4"/>
    </row>
    <row r="9" spans="1:14" ht="21" customHeight="1" thickBot="1" x14ac:dyDescent="0.3">
      <c r="B9" s="28" t="s">
        <v>6</v>
      </c>
      <c r="C9" s="43" t="s">
        <v>5</v>
      </c>
      <c r="D9" s="44"/>
      <c r="E9" s="9" t="s">
        <v>8</v>
      </c>
      <c r="F9" s="10" t="s">
        <v>7</v>
      </c>
    </row>
    <row r="10" spans="1:14" s="14" customFormat="1" ht="30" customHeight="1" thickBot="1" x14ac:dyDescent="0.3">
      <c r="A10" s="23"/>
      <c r="B10" s="29">
        <v>16</v>
      </c>
      <c r="C10" s="33" t="s">
        <v>17</v>
      </c>
      <c r="D10" s="34"/>
      <c r="E10" s="16">
        <v>2</v>
      </c>
      <c r="F10" s="15" t="s">
        <v>4</v>
      </c>
      <c r="G10" s="24" t="s">
        <v>1</v>
      </c>
      <c r="H10" s="25" t="str">
        <f>LEFT(G10,10)</f>
        <v/>
      </c>
      <c r="I10" s="23" t="str">
        <f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29">
        <v>16</v>
      </c>
      <c r="C11" s="33" t="s">
        <v>17</v>
      </c>
      <c r="D11" s="34"/>
      <c r="E11" s="16">
        <v>2</v>
      </c>
      <c r="F11" s="15" t="s">
        <v>16</v>
      </c>
      <c r="G11" s="24"/>
      <c r="H11" s="25" t="str">
        <f t="shared" ref="H11:H73" si="0">LEFT(G11,10)</f>
        <v/>
      </c>
      <c r="I11" s="23" t="str">
        <f t="shared" ref="I11:I73" si="1">MID(G11,LEN(H11)+1,LEN(G11)-LEN(H11))</f>
        <v/>
      </c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29">
        <v>16</v>
      </c>
      <c r="C12" s="33" t="s">
        <v>17</v>
      </c>
      <c r="D12" s="34"/>
      <c r="E12" s="16">
        <v>2</v>
      </c>
      <c r="F12" s="15" t="s">
        <v>12</v>
      </c>
      <c r="G12" s="24"/>
      <c r="H12" s="25"/>
      <c r="I12" s="23"/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/>
      <c r="B13" s="29">
        <v>17</v>
      </c>
      <c r="C13" s="31" t="s">
        <v>18</v>
      </c>
      <c r="D13" s="32"/>
      <c r="E13" s="16">
        <v>3</v>
      </c>
      <c r="F13" s="15" t="s">
        <v>4</v>
      </c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 t="e">
        <f t="shared" ref="A14:A41" si="2">IF(B14="","",IF(NOT(ISBLANK(B14)),IF(OR(WEEKDAY(DATE($A$1,$A$2,$B14))=1,WEEKDAY(DATE($A$1,$A$2,$B14))=2),1,0),""))</f>
        <v>#NUM!</v>
      </c>
      <c r="B14" s="29">
        <v>22</v>
      </c>
      <c r="C14" s="31" t="s">
        <v>19</v>
      </c>
      <c r="D14" s="32"/>
      <c r="E14" s="16">
        <v>1</v>
      </c>
      <c r="F14" s="15" t="s">
        <v>20</v>
      </c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str">
        <f t="shared" si="2"/>
        <v/>
      </c>
      <c r="B15" s="29"/>
      <c r="C15" s="31"/>
      <c r="D15" s="32"/>
      <c r="E15" s="16"/>
      <c r="F15" s="15"/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31"/>
      <c r="D16" s="32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31"/>
      <c r="D17" s="32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31"/>
      <c r="D18" s="32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31"/>
      <c r="D19" s="32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31"/>
      <c r="D20" s="32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31"/>
      <c r="D21" s="32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31"/>
      <c r="D22" s="32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31"/>
      <c r="D23" s="32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31"/>
      <c r="D24" s="32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31"/>
      <c r="D25" s="32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31"/>
      <c r="D26" s="32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31"/>
      <c r="D27" s="32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31"/>
      <c r="D28" s="32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31"/>
      <c r="D29" s="32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31"/>
      <c r="D30" s="32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31"/>
      <c r="D31" s="32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31"/>
      <c r="D32" s="32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31"/>
      <c r="D33" s="32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31"/>
      <c r="D34" s="32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31"/>
      <c r="D35" s="32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31"/>
      <c r="D36" s="32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31"/>
      <c r="D37" s="32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31"/>
      <c r="D38" s="32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31"/>
      <c r="D39" s="32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thickBot="1" x14ac:dyDescent="0.3">
      <c r="A40" s="23" t="str">
        <f t="shared" si="2"/>
        <v/>
      </c>
      <c r="B40" s="29"/>
      <c r="C40" s="31"/>
      <c r="D40" s="32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si="2"/>
        <v/>
      </c>
      <c r="B41" s="29"/>
      <c r="C41" s="31"/>
      <c r="D41" s="32"/>
      <c r="E41" s="16"/>
      <c r="F41" s="15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ref="A42:A98" si="3">IF(B42="","",IF(NOT(ISBLANK(B42)),IF(OR(WEEKDAY(DATE($A$1,$A$2,$B42))=1,WEEKDAY(DATE($A$1,$A$2,$B42))=2),1,0),""))</f>
        <v/>
      </c>
      <c r="B42" s="30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  <c r="P55" s="15" t="str" cm="1">
        <f t="array" aca="1" ref="P55" ca="1">LEFT(RIGHT(CELL("filename"),15),2)</f>
        <v>to</v>
      </c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si="0"/>
        <v/>
      </c>
      <c r="I73" s="23" t="str">
        <f t="shared" si="1"/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ref="H74:H137" si="4">LEFT(G74,10)</f>
        <v/>
      </c>
      <c r="I74" s="23" t="str">
        <f t="shared" ref="I74:I137" si="5">MID(G74,LEN(H74)+1,LEN(G74)-LEN(H74))</f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s="14" customFormat="1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5" t="str">
        <f t="shared" si="4"/>
        <v/>
      </c>
      <c r="I76" s="23" t="str">
        <f t="shared" si="5"/>
        <v/>
      </c>
      <c r="J76" s="11"/>
      <c r="K76" s="12"/>
      <c r="L76" s="13"/>
      <c r="M76" s="13"/>
      <c r="N76" s="13"/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A98" s="23" t="str">
        <f t="shared" si="3"/>
        <v/>
      </c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/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>
        <f>SUM(E11:E48)</f>
        <v>8</v>
      </c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si="4"/>
        <v/>
      </c>
      <c r="I137" s="19" t="str">
        <f t="shared" si="5"/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ref="H138:H201" si="6">LEFT(G138,10)</f>
        <v/>
      </c>
      <c r="I138" s="19" t="str">
        <f t="shared" ref="I138:I201" si="7">MID(G138,LEN(H138)+1,LEN(G138)-LEN(H138))</f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si="6"/>
        <v/>
      </c>
      <c r="I201" s="19" t="str">
        <f t="shared" si="7"/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ref="H202:H265" si="8">LEFT(G202,10)</f>
        <v/>
      </c>
      <c r="I202" s="19" t="str">
        <f t="shared" ref="I202:I265" si="9">MID(G202,LEN(H202)+1,LEN(G202)-LEN(H202))</f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si="8"/>
        <v/>
      </c>
      <c r="I265" s="19" t="str">
        <f t="shared" si="9"/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ref="H266:H329" si="10">LEFT(G266,10)</f>
        <v/>
      </c>
      <c r="I266" s="19" t="str">
        <f t="shared" ref="I266:I329" si="11">MID(G266,LEN(H266)+1,LEN(G266)-LEN(H266))</f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si="10"/>
        <v/>
      </c>
      <c r="I329" s="19" t="str">
        <f t="shared" si="11"/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ref="H330:H393" si="12">LEFT(G330,10)</f>
        <v/>
      </c>
      <c r="I330" s="19" t="str">
        <f t="shared" ref="I330:I393" si="13">MID(G330,LEN(H330)+1,LEN(G330)-LEN(H330))</f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si="12"/>
        <v/>
      </c>
      <c r="I393" s="19" t="str">
        <f t="shared" si="13"/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ref="H394:H457" si="14">LEFT(G394,10)</f>
        <v/>
      </c>
      <c r="I394" s="19" t="str">
        <f t="shared" ref="I394:I457" si="15">MID(G394,LEN(H394)+1,LEN(G394)-LEN(H394))</f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si="14"/>
        <v/>
      </c>
      <c r="I457" s="19" t="str">
        <f t="shared" si="15"/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ref="H458:H503" si="16">LEFT(G458,10)</f>
        <v/>
      </c>
      <c r="I458" s="19" t="str">
        <f t="shared" ref="I458:I503" si="17">MID(G458,LEN(H458)+1,LEN(G458)-LEN(H458))</f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B501" s="17"/>
      <c r="C501" s="17"/>
      <c r="D501" s="17"/>
      <c r="E501" s="18"/>
      <c r="F501" s="17"/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  <row r="503" spans="2:9" ht="30" customHeight="1" x14ac:dyDescent="0.25">
      <c r="G503" s="24"/>
      <c r="H503" s="20" t="str">
        <f t="shared" si="16"/>
        <v/>
      </c>
      <c r="I503" s="19" t="str">
        <f t="shared" si="17"/>
        <v/>
      </c>
    </row>
  </sheetData>
  <sortState xmlns:xlrd2="http://schemas.microsoft.com/office/spreadsheetml/2017/richdata2" ref="G11:G20">
    <sortCondition ref="G11:G20"/>
  </sortState>
  <mergeCells count="35">
    <mergeCell ref="D1:E2"/>
    <mergeCell ref="B1:C2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41:D41"/>
    <mergeCell ref="C36:D36"/>
    <mergeCell ref="C37:D37"/>
    <mergeCell ref="C38:D38"/>
    <mergeCell ref="C39:D39"/>
    <mergeCell ref="C40:D40"/>
  </mergeCells>
  <conditionalFormatting sqref="B43:B495 C42:F469 B14:B41 E13:F41">
    <cfRule type="expression" dxfId="44" priority="70">
      <formula>$D13="FÉRIAS"</formula>
    </cfRule>
    <cfRule type="expression" dxfId="43" priority="71">
      <formula>$D13="FERIADO"</formula>
    </cfRule>
    <cfRule type="expression" dxfId="42" priority="72">
      <formula>$A13=1</formula>
    </cfRule>
  </conditionalFormatting>
  <conditionalFormatting sqref="B497:F501">
    <cfRule type="expression" dxfId="41" priority="67">
      <formula>$D$11="FÉRIAS"</formula>
    </cfRule>
    <cfRule type="expression" dxfId="40" priority="68">
      <formula>$D$11="FERIADO"</formula>
    </cfRule>
    <cfRule type="expression" dxfId="39" priority="69">
      <formula>"$A$8=1"</formula>
    </cfRule>
  </conditionalFormatting>
  <conditionalFormatting sqref="C44:F50 C52:F58 C60:F66 C68:F74 C76:F82 C84:F90 C92:F98 C100:F106 C108:F114 C116:F122 C124:F130 C132:F138 C140:F146 C148:F154 C156:F162 C164:F170 C172:F178 C180:F186 C188:F194 C196:F202 C204:F210 C212:F218 C220:F226 C228:F234 C236:F242 C244:F250 C252:F258 C260:F266 C268:F274 C276:F282 C284:F290 C292:F298 C300:F306 C308:F314 C316:F322 C324:F330 C332:F338 C340:F346 C348:F354 C356:F362 C364:F370 C372:F378 C380:F386 C388:F394 C396:F402 C404:F410 C412:F418 C420:F426 C428:F434 C436:F442 C444:F450 C452:F458 C460:F466 B496:F496 C468:F495 B43:B495 C42:F42">
    <cfRule type="expression" dxfId="38" priority="61">
      <formula>$D42="FÉRIAS"</formula>
    </cfRule>
    <cfRule type="expression" dxfId="37" priority="62">
      <formula>$D42="FERIADO"</formula>
    </cfRule>
    <cfRule type="expression" dxfId="36" priority="63">
      <formula>"$A8=1"</formula>
    </cfRule>
  </conditionalFormatting>
  <conditionalFormatting sqref="B42">
    <cfRule type="expression" dxfId="35" priority="97">
      <formula>#REF!="FÉRIAS"</formula>
    </cfRule>
    <cfRule type="expression" dxfId="34" priority="98">
      <formula>#REF!="FERIADO"</formula>
    </cfRule>
    <cfRule type="expression" dxfId="33" priority="99">
      <formula>#REF!=1</formula>
    </cfRule>
  </conditionalFormatting>
  <conditionalFormatting sqref="B42">
    <cfRule type="expression" dxfId="32" priority="103">
      <formula>#REF!="FÉRIAS"</formula>
    </cfRule>
    <cfRule type="expression" dxfId="31" priority="104">
      <formula>#REF!="FERIADO"</formula>
    </cfRule>
    <cfRule type="expression" dxfId="30" priority="105">
      <formula>"$A8=1"</formula>
    </cfRule>
  </conditionalFormatting>
  <conditionalFormatting sqref="B13">
    <cfRule type="expression" dxfId="29" priority="115">
      <formula>#REF!="FÉRIAS"</formula>
    </cfRule>
    <cfRule type="expression" dxfId="28" priority="116">
      <formula>#REF!="FERIADO"</formula>
    </cfRule>
    <cfRule type="expression" dxfId="27" priority="117">
      <formula>#REF!=1</formula>
    </cfRule>
  </conditionalFormatting>
  <conditionalFormatting sqref="B10:C10 E10:F10 B11:B12">
    <cfRule type="expression" dxfId="26" priority="34">
      <formula>$D10="FÉRIAS"</formula>
    </cfRule>
    <cfRule type="expression" dxfId="25" priority="35">
      <formula>$D10="FERIADO"</formula>
    </cfRule>
    <cfRule type="expression" dxfId="24" priority="36">
      <formula>$A10=1</formula>
    </cfRule>
  </conditionalFormatting>
  <conditionalFormatting sqref="C13">
    <cfRule type="expression" dxfId="23" priority="25">
      <formula>$D13="FÉRIAS"</formula>
    </cfRule>
    <cfRule type="expression" dxfId="22" priority="26">
      <formula>$D13="FERIADO"</formula>
    </cfRule>
    <cfRule type="expression" dxfId="21" priority="27">
      <formula>$A13=1</formula>
    </cfRule>
  </conditionalFormatting>
  <conditionalFormatting sqref="C14">
    <cfRule type="expression" dxfId="20" priority="22">
      <formula>$D14="FÉRIAS"</formula>
    </cfRule>
    <cfRule type="expression" dxfId="19" priority="23">
      <formula>$D14="FERIADO"</formula>
    </cfRule>
    <cfRule type="expression" dxfId="18" priority="24">
      <formula>$A14=1</formula>
    </cfRule>
  </conditionalFormatting>
  <conditionalFormatting sqref="C15">
    <cfRule type="expression" dxfId="17" priority="19">
      <formula>$D15="FÉRIAS"</formula>
    </cfRule>
    <cfRule type="expression" dxfId="16" priority="20">
      <formula>$D15="FERIADO"</formula>
    </cfRule>
    <cfRule type="expression" dxfId="15" priority="21">
      <formula>$A15=1</formula>
    </cfRule>
  </conditionalFormatting>
  <conditionalFormatting sqref="C16:C41">
    <cfRule type="expression" dxfId="14" priority="13">
      <formula>$D16="FÉRIAS"</formula>
    </cfRule>
    <cfRule type="expression" dxfId="13" priority="14">
      <formula>$D16="FERIADO"</formula>
    </cfRule>
    <cfRule type="expression" dxfId="12" priority="15">
      <formula>$A16=1</formula>
    </cfRule>
  </conditionalFormatting>
  <conditionalFormatting sqref="E11:F11">
    <cfRule type="expression" dxfId="11" priority="10">
      <formula>$D11="FÉRIAS"</formula>
    </cfRule>
    <cfRule type="expression" dxfId="10" priority="11">
      <formula>$D11="FERIADO"</formula>
    </cfRule>
    <cfRule type="expression" dxfId="9" priority="12">
      <formula>$A11=1</formula>
    </cfRule>
  </conditionalFormatting>
  <conditionalFormatting sqref="E12:F12">
    <cfRule type="expression" dxfId="8" priority="7">
      <formula>$D12="FÉRIAS"</formula>
    </cfRule>
    <cfRule type="expression" dxfId="7" priority="8">
      <formula>$D12="FERIADO"</formula>
    </cfRule>
    <cfRule type="expression" dxfId="6" priority="9">
      <formula>$A12=1</formula>
    </cfRule>
  </conditionalFormatting>
  <conditionalFormatting sqref="C11">
    <cfRule type="expression" dxfId="5" priority="4">
      <formula>$D11="FÉRIAS"</formula>
    </cfRule>
    <cfRule type="expression" dxfId="4" priority="5">
      <formula>$D11="FERIADO"</formula>
    </cfRule>
    <cfRule type="expression" dxfId="3" priority="6">
      <formula>$A11=1</formula>
    </cfRule>
  </conditionalFormatting>
  <conditionalFormatting sqref="C12">
    <cfRule type="expression" dxfId="2" priority="1">
      <formula>$D12="FÉRIAS"</formula>
    </cfRule>
    <cfRule type="expression" dxfId="1" priority="2">
      <formula>$D12="FERIADO"</formula>
    </cfRule>
    <cfRule type="expression" dxfId="0" priority="3">
      <formula>$A12=1</formula>
    </cfRule>
  </conditionalFormatting>
  <dataValidations disablePrompts="1" count="1">
    <dataValidation type="list" allowBlank="1" showInputMessage="1" showErrorMessage="1" sqref="F4:F7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Detalhe</vt:lpstr>
      <vt:lpstr>Detalhe!Print_Area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Rui Alves - Elemento FInito</cp:lastModifiedBy>
  <cp:lastPrinted>2022-03-04T17:38:55Z</cp:lastPrinted>
  <dcterms:created xsi:type="dcterms:W3CDTF">1996-10-14T23:33:28Z</dcterms:created>
  <dcterms:modified xsi:type="dcterms:W3CDTF">2026-04-23T17:50:21Z</dcterms:modified>
</cp:coreProperties>
</file>