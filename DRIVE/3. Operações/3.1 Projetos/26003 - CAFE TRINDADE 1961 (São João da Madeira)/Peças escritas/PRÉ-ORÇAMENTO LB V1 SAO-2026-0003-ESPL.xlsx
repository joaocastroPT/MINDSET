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3 - CAFE TRINDADE 1961 (São João da Madeira)\Peças escritas\"/>
    </mc:Choice>
  </mc:AlternateContent>
  <xr:revisionPtr revIDLastSave="0" documentId="13_ncr:1_{C49FF32C-BBDC-49C1-8549-BBDEB1B236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  <sheet name="Faturamento" sheetId="2" r:id="rId2"/>
  </sheets>
  <definedNames>
    <definedName name="_xlnm.Print_Area" localSheetId="0">Proposta!$A$1:$G$63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1" l="1"/>
  <c r="E24" i="1" s="1"/>
  <c r="F24" i="1" s="1"/>
  <c r="D21" i="1"/>
  <c r="E21" i="1" s="1"/>
  <c r="F21" i="1" s="1"/>
  <c r="B5" i="2"/>
  <c r="D18" i="1"/>
  <c r="E18" i="1" s="1"/>
  <c r="F18" i="1" s="1"/>
  <c r="D15" i="1"/>
  <c r="E15" i="1" s="1"/>
  <c r="F15" i="1" s="1"/>
  <c r="D12" i="1"/>
  <c r="E12" i="1" s="1"/>
  <c r="F12" i="1" s="1"/>
  <c r="F59" i="1" l="1"/>
</calcChain>
</file>

<file path=xl/sharedStrings.xml><?xml version="1.0" encoding="utf-8"?>
<sst xmlns="http://schemas.openxmlformats.org/spreadsheetml/2006/main" count="37" uniqueCount="37">
  <si>
    <t>A confirmar</t>
  </si>
  <si>
    <t>DESIGNAÇÃO / DESCRIÇÃO</t>
  </si>
  <si>
    <t>PREÇO/UN (€)</t>
  </si>
  <si>
    <t>SUB-TOTAL (€)</t>
  </si>
  <si>
    <t>TOTAL (€)</t>
  </si>
  <si>
    <t>1º</t>
  </si>
  <si>
    <t>Pago na encomenda</t>
  </si>
  <si>
    <t>MINDSET soundsystem</t>
  </si>
  <si>
    <t>CLIENTE:</t>
  </si>
  <si>
    <t>NIF:</t>
  </si>
  <si>
    <t>CONDIÇÕES PAGAMENTO:</t>
  </si>
  <si>
    <t>Até aprovação do cliente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</si>
  <si>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</si>
  <si>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</si>
  <si>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</si>
  <si>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</si>
  <si>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</si>
  <si>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</si>
  <si>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</si>
  <si>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</si>
  <si>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TOTAL S/ IVA</t>
  </si>
  <si>
    <t>NOTAS: Portes de envio a decidir. Preços por unidade apresentados não incluem IVA.Orçamento sujeito a revisões.</t>
  </si>
  <si>
    <t>Audibax Elipse 6 (Par)</t>
  </si>
  <si>
    <t>Audibax Dayton 300</t>
  </si>
  <si>
    <t>BSAP100</t>
  </si>
  <si>
    <t xml:space="preserve">Café Trindade 1961 </t>
  </si>
  <si>
    <t>Orçamento fornecedor</t>
  </si>
  <si>
    <t>Orçamento Cliente</t>
  </si>
  <si>
    <t>Lucro</t>
  </si>
  <si>
    <t xml:space="preserve">Mão de obra especializada </t>
  </si>
  <si>
    <t>Tubo VD20</t>
  </si>
  <si>
    <t>Coluna passiva 2 vias 16,5cm 30W RMS, 8Ω, c/ suporte parede, indoor</t>
  </si>
  <si>
    <t>Mao de obra especializada, prazo de entrega: 1 dia.</t>
  </si>
  <si>
    <t>Tubo rigido c/ acessórios</t>
  </si>
  <si>
    <t>PROPOSTA DE FORNECIMENTO (MAIS BARATO)</t>
  </si>
  <si>
    <t>Amplificador de potência Class AB, 2×150W RMS @ 4Ω</t>
  </si>
  <si>
    <t>Cabo paralelo bobine —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</si>
</sst>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20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5" fillId="2" borderId="0" xfId="0" applyFont="1" applyFill="1" applyAlignment="1">
      <alignment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4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 wrapText="1"/>
    </xf>
    <xf numFmtId="16" fontId="14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7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3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0" fontId="3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4" fontId="18" fillId="0" borderId="0" xfId="0" applyNumberFormat="1" applyFont="1" applyAlignment="1">
      <alignment horizontal="right" vertical="center"/>
    </xf>
    <xf numFmtId="0" fontId="19" fillId="5" borderId="2" xfId="0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5" borderId="7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showGridLines="0" tabSelected="1" view="pageBreakPreview" topLeftCell="A2" zoomScale="115" zoomScaleNormal="115" zoomScaleSheetLayoutView="115" zoomScalePageLayoutView="85" workbookViewId="0">
      <selection activeCell="D8" sqref="D8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.21875" bestFit="1" customWidth="1"/>
    <col min="5" max="5" width="19.77734375" bestFit="1" customWidth="1"/>
    <col min="6" max="6" width="15.5546875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37"/>
      <c r="B2" s="38"/>
      <c r="C2" s="38"/>
      <c r="D2" s="39"/>
      <c r="E2" s="58" t="s">
        <v>34</v>
      </c>
      <c r="F2" s="58"/>
      <c r="G2" s="40"/>
    </row>
    <row r="3" spans="1:7" ht="7.5" customHeight="1" x14ac:dyDescent="0.3">
      <c r="A3" s="1"/>
      <c r="G3" s="2"/>
    </row>
    <row r="4" spans="1:7" ht="18" customHeight="1" x14ac:dyDescent="0.3">
      <c r="A4" s="1"/>
      <c r="B4" s="15" t="s">
        <v>13</v>
      </c>
      <c r="C4" s="16" t="s">
        <v>5</v>
      </c>
      <c r="D4" s="17"/>
      <c r="E4" s="18" t="s">
        <v>8</v>
      </c>
      <c r="F4" s="16" t="s">
        <v>25</v>
      </c>
      <c r="G4" s="2"/>
    </row>
    <row r="5" spans="1:7" ht="18" customHeight="1" x14ac:dyDescent="0.3">
      <c r="A5" s="1"/>
      <c r="B5" s="19" t="s">
        <v>14</v>
      </c>
      <c r="C5" s="20">
        <v>46152</v>
      </c>
      <c r="D5" s="21"/>
      <c r="E5" s="22" t="s">
        <v>9</v>
      </c>
      <c r="F5" s="23"/>
      <c r="G5" s="2"/>
    </row>
    <row r="6" spans="1:7" ht="24" customHeight="1" x14ac:dyDescent="0.3">
      <c r="A6" s="1"/>
      <c r="B6" s="19" t="s">
        <v>15</v>
      </c>
      <c r="C6" s="23" t="s">
        <v>11</v>
      </c>
      <c r="D6" s="21"/>
      <c r="E6" s="22" t="s">
        <v>10</v>
      </c>
      <c r="F6" s="24" t="s">
        <v>6</v>
      </c>
      <c r="G6" s="2"/>
    </row>
    <row r="7" spans="1:7" ht="18" customHeight="1" x14ac:dyDescent="0.3">
      <c r="A7" s="26"/>
      <c r="B7" s="19" t="s">
        <v>16</v>
      </c>
      <c r="C7" s="23" t="s">
        <v>0</v>
      </c>
      <c r="D7" s="21"/>
      <c r="E7" s="22" t="s">
        <v>19</v>
      </c>
      <c r="F7" s="25" t="s">
        <v>18</v>
      </c>
      <c r="G7" s="27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8"/>
      <c r="B9" s="29"/>
      <c r="C9" s="29"/>
      <c r="D9" s="29"/>
      <c r="E9" s="29"/>
      <c r="F9" s="29"/>
      <c r="G9" s="30"/>
    </row>
    <row r="10" spans="1:7" ht="21.75" customHeight="1" x14ac:dyDescent="0.3">
      <c r="A10" s="1"/>
      <c r="B10" s="41" t="s">
        <v>17</v>
      </c>
      <c r="C10" s="42" t="s">
        <v>1</v>
      </c>
      <c r="D10" s="43" t="s">
        <v>2</v>
      </c>
      <c r="E10" s="44" t="s">
        <v>3</v>
      </c>
      <c r="F10" s="44" t="s">
        <v>4</v>
      </c>
      <c r="G10" s="2"/>
    </row>
    <row r="11" spans="1:7" ht="6" customHeight="1" x14ac:dyDescent="0.3">
      <c r="A11" s="1"/>
      <c r="B11" s="63">
        <v>2</v>
      </c>
      <c r="C11" s="9"/>
      <c r="D11" s="9"/>
      <c r="E11" s="9"/>
      <c r="F11" s="9"/>
      <c r="G11" s="10"/>
    </row>
    <row r="12" spans="1:7" ht="18" customHeight="1" x14ac:dyDescent="0.3">
      <c r="A12" s="1"/>
      <c r="B12" s="63"/>
      <c r="C12" s="6" t="s">
        <v>22</v>
      </c>
      <c r="D12" s="7">
        <f>90*1.3</f>
        <v>117</v>
      </c>
      <c r="E12" s="8">
        <f>B11*D12</f>
        <v>234</v>
      </c>
      <c r="F12" s="14">
        <f>E12</f>
        <v>234</v>
      </c>
      <c r="G12" s="2"/>
    </row>
    <row r="13" spans="1:7" ht="13.5" customHeight="1" x14ac:dyDescent="0.3">
      <c r="A13" s="1"/>
      <c r="B13" s="64"/>
      <c r="C13" s="36" t="s">
        <v>31</v>
      </c>
      <c r="D13" s="31"/>
      <c r="E13" s="31"/>
      <c r="F13" s="31"/>
      <c r="G13" s="2"/>
    </row>
    <row r="14" spans="1:7" ht="6" customHeight="1" x14ac:dyDescent="0.3">
      <c r="A14" s="1"/>
      <c r="B14" s="65">
        <v>1</v>
      </c>
      <c r="C14" s="9"/>
      <c r="D14" s="9"/>
      <c r="E14" s="9"/>
      <c r="F14" s="9"/>
      <c r="G14" s="10"/>
    </row>
    <row r="15" spans="1:7" ht="18" customHeight="1" x14ac:dyDescent="0.3">
      <c r="A15" s="1"/>
      <c r="B15" s="63"/>
      <c r="C15" s="6" t="s">
        <v>23</v>
      </c>
      <c r="D15" s="7">
        <f>115*1.3</f>
        <v>149.5</v>
      </c>
      <c r="E15" s="8">
        <f>B14*D15</f>
        <v>149.5</v>
      </c>
      <c r="F15" s="14">
        <f>E15</f>
        <v>149.5</v>
      </c>
      <c r="G15" s="2"/>
    </row>
    <row r="16" spans="1:7" ht="13.5" customHeight="1" x14ac:dyDescent="0.3">
      <c r="A16" s="1"/>
      <c r="B16" s="64"/>
      <c r="C16" s="36" t="s">
        <v>35</v>
      </c>
      <c r="D16" s="31"/>
      <c r="E16" s="31"/>
      <c r="F16" s="31"/>
      <c r="G16" s="2"/>
    </row>
    <row r="17" spans="1:7" ht="6" customHeight="1" x14ac:dyDescent="0.3">
      <c r="A17" s="1"/>
      <c r="B17" s="65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63"/>
      <c r="C18" s="6" t="s">
        <v>24</v>
      </c>
      <c r="D18" s="7">
        <f>110*1.3</f>
        <v>143</v>
      </c>
      <c r="E18" s="8">
        <f>B17*D18</f>
        <v>143</v>
      </c>
      <c r="F18" s="14">
        <f>E18</f>
        <v>143</v>
      </c>
      <c r="G18" s="2"/>
    </row>
    <row r="19" spans="1:7" ht="13.5" customHeight="1" x14ac:dyDescent="0.3">
      <c r="A19" s="1"/>
      <c r="B19" s="64"/>
      <c r="C19" s="36" t="s">
        <v>36</v>
      </c>
      <c r="D19" s="31"/>
      <c r="E19" s="31"/>
      <c r="F19" s="31"/>
      <c r="G19" s="2"/>
    </row>
    <row r="20" spans="1:7" ht="6" customHeight="1" x14ac:dyDescent="0.3">
      <c r="A20" s="1"/>
      <c r="B20" s="65">
        <v>1</v>
      </c>
      <c r="C20" s="9"/>
      <c r="D20" s="9"/>
      <c r="E20" s="9"/>
      <c r="F20" s="9"/>
      <c r="G20" s="10"/>
    </row>
    <row r="21" spans="1:7" ht="18" customHeight="1" x14ac:dyDescent="0.3">
      <c r="A21" s="1"/>
      <c r="B21" s="63"/>
      <c r="C21" s="6" t="s">
        <v>29</v>
      </c>
      <c r="D21" s="56">
        <f>180*1.3</f>
        <v>234</v>
      </c>
      <c r="E21" s="8">
        <f>B20*D21</f>
        <v>234</v>
      </c>
      <c r="F21" s="14">
        <f>E21</f>
        <v>234</v>
      </c>
      <c r="G21" s="2"/>
    </row>
    <row r="22" spans="1:7" ht="13.5" customHeight="1" x14ac:dyDescent="0.3">
      <c r="A22" s="1"/>
      <c r="B22" s="64"/>
      <c r="C22" s="36" t="s">
        <v>32</v>
      </c>
      <c r="D22" s="31"/>
      <c r="E22" s="31"/>
      <c r="F22" s="31"/>
      <c r="G22" s="2"/>
    </row>
    <row r="23" spans="1:7" ht="6" customHeight="1" x14ac:dyDescent="0.3">
      <c r="A23" s="1"/>
      <c r="B23" s="65">
        <v>1</v>
      </c>
      <c r="C23" s="9"/>
      <c r="D23" s="9"/>
      <c r="E23" s="9"/>
      <c r="F23" s="9"/>
      <c r="G23" s="10"/>
    </row>
    <row r="24" spans="1:7" ht="18" customHeight="1" x14ac:dyDescent="0.3">
      <c r="A24" s="1"/>
      <c r="B24" s="63"/>
      <c r="C24" s="13" t="s">
        <v>30</v>
      </c>
      <c r="D24" s="57">
        <f>61.54*1.3</f>
        <v>80.001999999999995</v>
      </c>
      <c r="E24" s="8">
        <f>D24*B23</f>
        <v>80.001999999999995</v>
      </c>
      <c r="F24" s="14">
        <f>E24</f>
        <v>80.001999999999995</v>
      </c>
      <c r="G24" s="2"/>
    </row>
    <row r="25" spans="1:7" ht="13.5" customHeight="1" x14ac:dyDescent="0.3">
      <c r="A25" s="1"/>
      <c r="B25" s="64"/>
      <c r="C25" s="36" t="s">
        <v>33</v>
      </c>
      <c r="D25" s="31"/>
      <c r="E25" s="31"/>
      <c r="F25" s="31"/>
      <c r="G25" s="2"/>
    </row>
    <row r="26" spans="1:7" ht="6" customHeight="1" x14ac:dyDescent="0.3">
      <c r="A26" s="1"/>
      <c r="B26" s="54"/>
      <c r="C26" s="9"/>
      <c r="D26" s="9"/>
      <c r="E26" s="9"/>
      <c r="F26" s="9"/>
      <c r="G26" s="10"/>
    </row>
    <row r="27" spans="1:7" x14ac:dyDescent="0.3">
      <c r="A27" s="26"/>
      <c r="B27" s="55"/>
      <c r="C27" s="36"/>
      <c r="D27" s="31"/>
      <c r="E27" s="31"/>
      <c r="F27" s="31"/>
      <c r="G27" s="32"/>
    </row>
    <row r="28" spans="1:7" ht="7.5" customHeight="1" x14ac:dyDescent="0.3">
      <c r="A28" s="1"/>
      <c r="D28" s="11"/>
      <c r="F28" s="12"/>
      <c r="G28" s="2"/>
    </row>
    <row r="29" spans="1:7" ht="27.75" customHeight="1" x14ac:dyDescent="0.3">
      <c r="A29" s="1"/>
      <c r="G29" s="2"/>
    </row>
    <row r="30" spans="1:7" ht="7.5" customHeight="1" x14ac:dyDescent="0.3">
      <c r="A30" s="1"/>
      <c r="G30" s="2"/>
    </row>
    <row r="31" spans="1:7" ht="7.5" customHeight="1" x14ac:dyDescent="0.3">
      <c r="A31" s="1"/>
      <c r="G31" s="2"/>
    </row>
    <row r="32" spans="1:7" ht="18" customHeight="1" x14ac:dyDescent="0.3">
      <c r="A32" s="1"/>
      <c r="G32" s="2"/>
    </row>
    <row r="33" spans="1:7" ht="7.5" customHeight="1" x14ac:dyDescent="0.3">
      <c r="A33" s="1"/>
      <c r="G33" s="2"/>
    </row>
    <row r="34" spans="1:7" ht="3.75" customHeight="1" x14ac:dyDescent="0.3">
      <c r="A34" s="1"/>
      <c r="G34" s="2"/>
    </row>
    <row r="35" spans="1:7" ht="21.75" customHeight="1" x14ac:dyDescent="0.3">
      <c r="A35" s="1"/>
      <c r="G35" s="2"/>
    </row>
    <row r="36" spans="1:7" x14ac:dyDescent="0.3">
      <c r="A36" s="1"/>
      <c r="G36" s="2"/>
    </row>
    <row r="37" spans="1:7" x14ac:dyDescent="0.3">
      <c r="A37" s="1"/>
      <c r="G37" s="2"/>
    </row>
    <row r="38" spans="1:7" x14ac:dyDescent="0.3">
      <c r="A38" s="1"/>
      <c r="G38" s="2"/>
    </row>
    <row r="39" spans="1:7" x14ac:dyDescent="0.3">
      <c r="A39" s="1"/>
      <c r="G39" s="2"/>
    </row>
    <row r="40" spans="1:7" x14ac:dyDescent="0.3">
      <c r="A40" s="1"/>
      <c r="G40" s="2"/>
    </row>
    <row r="41" spans="1:7" x14ac:dyDescent="0.3">
      <c r="A41" s="1"/>
      <c r="G41" s="2"/>
    </row>
    <row r="42" spans="1:7" x14ac:dyDescent="0.3">
      <c r="A42" s="1"/>
      <c r="G42" s="2"/>
    </row>
    <row r="43" spans="1:7" x14ac:dyDescent="0.3">
      <c r="A43" s="1"/>
      <c r="G43" s="2"/>
    </row>
    <row r="44" spans="1:7" x14ac:dyDescent="0.3">
      <c r="A44" s="1"/>
      <c r="G44" s="2"/>
    </row>
    <row r="45" spans="1:7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x14ac:dyDescent="0.3">
      <c r="A58" s="1"/>
      <c r="G58" s="2"/>
    </row>
    <row r="59" spans="1:7" ht="16.8" x14ac:dyDescent="0.3">
      <c r="A59" s="45"/>
      <c r="B59" s="46"/>
      <c r="C59" s="46"/>
      <c r="D59" s="47" t="s">
        <v>20</v>
      </c>
      <c r="E59" s="47"/>
      <c r="F59" s="48">
        <f>F12+F15+F18+F21+F24</f>
        <v>840.50199999999995</v>
      </c>
      <c r="G59" s="49"/>
    </row>
    <row r="60" spans="1:7" x14ac:dyDescent="0.3">
      <c r="A60" s="1"/>
      <c r="G60" s="2"/>
    </row>
    <row r="61" spans="1:7" x14ac:dyDescent="0.3">
      <c r="A61" s="59" t="s">
        <v>21</v>
      </c>
      <c r="B61" s="60"/>
      <c r="C61" s="60"/>
      <c r="D61" s="60"/>
      <c r="E61" s="60"/>
      <c r="F61" s="60"/>
      <c r="G61" s="61"/>
    </row>
    <row r="62" spans="1:7" ht="5.4" customHeight="1" x14ac:dyDescent="0.3">
      <c r="A62" s="33"/>
      <c r="B62" s="34"/>
      <c r="C62" s="34"/>
      <c r="D62" s="34"/>
      <c r="E62" s="34"/>
      <c r="F62" s="34"/>
      <c r="G62" s="35"/>
    </row>
    <row r="63" spans="1:7" ht="15" thickBot="1" x14ac:dyDescent="0.35">
      <c r="A63" s="50"/>
      <c r="B63" s="51" t="s">
        <v>7</v>
      </c>
      <c r="C63" s="52"/>
      <c r="D63" s="62" t="s">
        <v>12</v>
      </c>
      <c r="E63" s="62"/>
      <c r="F63" s="62"/>
      <c r="G63" s="53"/>
    </row>
  </sheetData>
  <mergeCells count="8">
    <mergeCell ref="E2:F2"/>
    <mergeCell ref="A61:G61"/>
    <mergeCell ref="D63:F63"/>
    <mergeCell ref="B11:B13"/>
    <mergeCell ref="B14:B16"/>
    <mergeCell ref="B17:B19"/>
    <mergeCell ref="B20:B22"/>
    <mergeCell ref="B23:B25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5BD4-7188-466F-8590-CCBFEF5F9088}">
  <dimension ref="A3:B5"/>
  <sheetViews>
    <sheetView workbookViewId="0">
      <selection activeCell="C19" sqref="C19"/>
    </sheetView>
  </sheetViews>
  <sheetFormatPr defaultRowHeight="14.4" x14ac:dyDescent="0.3"/>
  <cols>
    <col min="1" max="1" width="20" bestFit="1" customWidth="1"/>
  </cols>
  <sheetData>
    <row r="3" spans="1:2" x14ac:dyDescent="0.3">
      <c r="A3" t="s">
        <v>26</v>
      </c>
      <c r="B3">
        <v>400</v>
      </c>
    </row>
    <row r="4" spans="1:2" x14ac:dyDescent="0.3">
      <c r="A4" t="s">
        <v>27</v>
      </c>
      <c r="B4">
        <v>760</v>
      </c>
    </row>
    <row r="5" spans="1:2" x14ac:dyDescent="0.3">
      <c r="A5" t="s">
        <v>28</v>
      </c>
      <c r="B5">
        <f>B4-B3</f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Proposta</vt:lpstr>
      <vt:lpstr>Faturamento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2026-05-07T17:14:46Z</cp:lastPrinted>
  <dcterms:created xsi:type="dcterms:W3CDTF">2026-04-17T10:27:45Z</dcterms:created>
  <dcterms:modified xsi:type="dcterms:W3CDTF">2026-05-07T17:15:01Z</dcterms:modified>
  <dc:language>en-US</dc:language>
</cp:coreProperties>
</file>